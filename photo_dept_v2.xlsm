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OneDrive\Desktop\mainFile\photo_dept\templates\"/>
    </mc:Choice>
  </mc:AlternateContent>
  <xr:revisionPtr revIDLastSave="0" documentId="13_ncr:1_{1CAB71A3-5E40-4385-9833-2F66E9D1534E}" xr6:coauthVersionLast="47" xr6:coauthVersionMax="47" xr10:uidLastSave="{00000000-0000-0000-0000-000000000000}"/>
  <bookViews>
    <workbookView xWindow="28680" yWindow="-120" windowWidth="29040" windowHeight="15840" xr2:uid="{380D15CC-214A-4D33-A1A9-54F06B737026}"/>
  </bookViews>
  <sheets>
    <sheet name="MAIN" sheetId="1" r:id="rId1"/>
    <sheet name="Move Imgs" sheetId="4" r:id="rId2"/>
    <sheet name="TABLES" sheetId="2" r:id="rId3"/>
  </sheets>
  <definedNames>
    <definedName name="_xlnm._FilterDatabase" localSheetId="0" hidden="1">MAIN!$A$1:$G$1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2" i="2"/>
  <c r="U369" i="2" l="1"/>
  <c r="U370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Q25" i="2" s="1"/>
  <c r="B26" i="2"/>
  <c r="Q26" i="2" s="1"/>
  <c r="B27" i="2"/>
  <c r="Q27" i="2" s="1"/>
  <c r="B28" i="2"/>
  <c r="Q28" i="2" s="1"/>
  <c r="B29" i="2"/>
  <c r="Q29" i="2" s="1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M46" i="2" s="1"/>
  <c r="B47" i="2"/>
  <c r="M47" i="2" s="1"/>
  <c r="B48" i="2"/>
  <c r="M48" i="2" s="1"/>
  <c r="B49" i="2"/>
  <c r="M49" i="2" s="1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I71" i="2" s="1"/>
  <c r="B72" i="2"/>
  <c r="I72" i="2" s="1"/>
  <c r="B73" i="2"/>
  <c r="I73" i="2" s="1"/>
  <c r="B74" i="2"/>
  <c r="I74" i="2" s="1"/>
  <c r="B75" i="2"/>
  <c r="I75" i="2" s="1"/>
  <c r="B76" i="2"/>
  <c r="I76" i="2" s="1"/>
  <c r="B77" i="2"/>
  <c r="I77" i="2" s="1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E273" i="2" s="1"/>
  <c r="B274" i="2"/>
  <c r="E274" i="2" s="1"/>
  <c r="B275" i="2"/>
  <c r="E275" i="2" s="1"/>
  <c r="B276" i="2"/>
  <c r="E276" i="2" s="1"/>
  <c r="B277" i="2"/>
  <c r="E277" i="2" s="1"/>
  <c r="B278" i="2"/>
  <c r="E278" i="2" s="1"/>
  <c r="B279" i="2"/>
  <c r="E279" i="2" s="1"/>
  <c r="B280" i="2"/>
  <c r="E280" i="2" s="1"/>
  <c r="B281" i="2"/>
  <c r="E281" i="2" s="1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U351" i="2" s="1"/>
  <c r="B351" i="2"/>
  <c r="U352" i="2" s="1"/>
  <c r="U273" i="2" l="1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272" i="2" l="1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U2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" i="2"/>
</calcChain>
</file>

<file path=xl/sharedStrings.xml><?xml version="1.0" encoding="utf-8"?>
<sst xmlns="http://schemas.openxmlformats.org/spreadsheetml/2006/main" count="975" uniqueCount="862">
  <si>
    <t>Brand</t>
  </si>
  <si>
    <t>SKU</t>
  </si>
  <si>
    <t>MSS</t>
  </si>
  <si>
    <t>AB</t>
  </si>
  <si>
    <t>SCK</t>
  </si>
  <si>
    <t>AB FOLDER PATHS</t>
  </si>
  <si>
    <t>AB FOLDERS</t>
  </si>
  <si>
    <t>MSS FOLDERS</t>
  </si>
  <si>
    <t>MSS FOLDER PATHS</t>
  </si>
  <si>
    <t>SCK FOLDERS</t>
  </si>
  <si>
    <t>SCK FOLDER PATHS</t>
  </si>
  <si>
    <t>ATTIC FOLDERS</t>
  </si>
  <si>
    <t>ATTIC FOLDER PATHS</t>
  </si>
  <si>
    <t>Prefix</t>
  </si>
  <si>
    <t>MSS FOLDER</t>
  </si>
  <si>
    <t>AB FOLDER</t>
  </si>
  <si>
    <t>ATTIC FOLDER</t>
  </si>
  <si>
    <t>SCK FOLDER</t>
  </si>
  <si>
    <t>Entities</t>
  </si>
  <si>
    <t>ATTIC</t>
  </si>
  <si>
    <t>APPAREL FOLDERS</t>
  </si>
  <si>
    <t>APPAREL FOLDER PATHS</t>
  </si>
  <si>
    <t>APPAREL FOLDER</t>
  </si>
  <si>
    <t>APPAREL</t>
  </si>
  <si>
    <t>Apparel</t>
  </si>
  <si>
    <t>Dir</t>
  </si>
  <si>
    <t>Target :</t>
  </si>
  <si>
    <t>ASFiles :</t>
  </si>
  <si>
    <t>\RUM's\361 DEGREES</t>
  </si>
  <si>
    <t>\RUM's\ADIDAS</t>
  </si>
  <si>
    <t>\RUM's\ADIO</t>
  </si>
  <si>
    <t>\RUM's\AEROSOLES</t>
  </si>
  <si>
    <t>\RUM's\AGGRESSOR</t>
  </si>
  <si>
    <t>\RUM's\AIRWALK</t>
  </si>
  <si>
    <t>\RUM's\ALDO</t>
  </si>
  <si>
    <t>\RUM's\ALEADER</t>
  </si>
  <si>
    <t>\RUM's\ALEGRIA</t>
  </si>
  <si>
    <t>\RUM's\ALTRA</t>
  </si>
  <si>
    <t>\RUM's\AND1</t>
  </si>
  <si>
    <t>\RUM's\ARAVON</t>
  </si>
  <si>
    <t>\RUM's\ARMANI</t>
  </si>
  <si>
    <t>\RUM's\ARTURO CHIANG</t>
  </si>
  <si>
    <t>\RUM's\ASFL</t>
  </si>
  <si>
    <t>\RUM's\ASICS</t>
  </si>
  <si>
    <t>\RUM's\ATELIERS</t>
  </si>
  <si>
    <t>\RUM's\AVIA</t>
  </si>
  <si>
    <t>\RUM's\B.O.C</t>
  </si>
  <si>
    <t>\RUM's\BADGLEY MISCHKA</t>
  </si>
  <si>
    <t>\RUM's\BARETRAPS</t>
  </si>
  <si>
    <t>\RUM's\BEARPAW</t>
  </si>
  <si>
    <t>\RUM's\BILLY</t>
  </si>
  <si>
    <t>\RUM's\BIRKENSTOCK</t>
  </si>
  <si>
    <t>\RUM's\BLUNDSTONE</t>
  </si>
  <si>
    <t>\RUM's\BM</t>
  </si>
  <si>
    <t>\RUM's\BOGS</t>
  </si>
  <si>
    <t>\RUM's\BORN</t>
  </si>
  <si>
    <t>\RUM's\BRANDBLACK</t>
  </si>
  <si>
    <t>\RUM's\BRONAX</t>
  </si>
  <si>
    <t>\RUM's\BROOKS</t>
  </si>
  <si>
    <t>\RUM's\BROWNING</t>
  </si>
  <si>
    <t>\RUM's\CALL IT SPRING</t>
  </si>
  <si>
    <t>\RUM's\CAMPER</t>
  </si>
  <si>
    <t>\RUM's\CAROLINA</t>
  </si>
  <si>
    <t>\RUM's\CCILU</t>
  </si>
  <si>
    <t>\RUM's\CHACO</t>
  </si>
  <si>
    <t>\RUM's\CHAMPION</t>
  </si>
  <si>
    <t>\RUM's\CHARMING CHARLIE</t>
  </si>
  <si>
    <t>\RUM's\CIRCA</t>
  </si>
  <si>
    <t>\RUM's\CITY CLASSIFIED</t>
  </si>
  <si>
    <t>\RUM's\CLARKS</t>
  </si>
  <si>
    <t>\RUM's\COLE HAAN</t>
  </si>
  <si>
    <t>\RUM's\COLUMBIA</t>
  </si>
  <si>
    <t>\RUM's\COMFORTIVA</t>
  </si>
  <si>
    <t>\RUM's\CONVERSE</t>
  </si>
  <si>
    <t>\RUM's\CREATIVE RECREATION</t>
  </si>
  <si>
    <t>\RUM's\CROCS</t>
  </si>
  <si>
    <t>\RUM's\CROSS COLOURS</t>
  </si>
  <si>
    <t>\RUM's\CUTEYS</t>
  </si>
  <si>
    <t>\RUM's\DADA</t>
  </si>
  <si>
    <t>\RUM's\DADAWEN</t>
  </si>
  <si>
    <t>\RUM's\DADDY'S $</t>
  </si>
  <si>
    <t>\RUM's\DAKOTA</t>
  </si>
  <si>
    <t>\RUM's\DANNER</t>
  </si>
  <si>
    <t>\RUM's\DANSKIN</t>
  </si>
  <si>
    <t>\RUM's\DANSKO</t>
  </si>
  <si>
    <t>\RUM's\DAWGS</t>
  </si>
  <si>
    <t>\RUM's\DC</t>
  </si>
  <si>
    <t>\RUM's\DE LUCA</t>
  </si>
  <si>
    <t>\RUM's\DEB</t>
  </si>
  <si>
    <t>\RUM's\DEER STAGS</t>
  </si>
  <si>
    <t>\RUM's\DIADORA</t>
  </si>
  <si>
    <t>\RUM's\DICKIES</t>
  </si>
  <si>
    <t>\RUM's\DIE HARD</t>
  </si>
  <si>
    <t>\RUM's\DIESEL</t>
  </si>
  <si>
    <t>\RUM's\DKNY</t>
  </si>
  <si>
    <t>\RUM's\DOCKERS</t>
  </si>
  <si>
    <t>\RUM's\DOLCE VITA</t>
  </si>
  <si>
    <t>\RUM's\DOMBA</t>
  </si>
  <si>
    <t>\RUM's\DR MARTENS</t>
  </si>
  <si>
    <t>\RUM's\DR SCHOLL'S</t>
  </si>
  <si>
    <t>\RUM's\DREAM PAIRS</t>
  </si>
  <si>
    <t>\RUM's\DREW</t>
  </si>
  <si>
    <t>\RUM's\DRIVER CLUB</t>
  </si>
  <si>
    <t>\RUM's\DUNHAM</t>
  </si>
  <si>
    <t>\RUM's\DVS</t>
  </si>
  <si>
    <t>\RUM's\DYNAFIT</t>
  </si>
  <si>
    <t>\RUM's\EAGSOUNI</t>
  </si>
  <si>
    <t>\RUM's\EARTH BRANDS</t>
  </si>
  <si>
    <t>\RUM's\EARTH ORIGINS</t>
  </si>
  <si>
    <t>\RUM's\EASY STREET</t>
  </si>
  <si>
    <t>\RUM's\EDDIE BAUER</t>
  </si>
  <si>
    <t>\RUM's\EKTIO</t>
  </si>
  <si>
    <t>\RUM's\ELLESSE</t>
  </si>
  <si>
    <t>\RUM's\EMERICA</t>
  </si>
  <si>
    <t>\RUM's\ETNIES</t>
  </si>
  <si>
    <t>\RUM's\ETONIC</t>
  </si>
  <si>
    <t>\RUM's\FASHION SHATANXIE</t>
  </si>
  <si>
    <t>\RUM's\FEIYUE</t>
  </si>
  <si>
    <t>\RUM's\FILA</t>
  </si>
  <si>
    <t>\RUM's\FITFLOP</t>
  </si>
  <si>
    <t>\RUM's\FITKICKS</t>
  </si>
  <si>
    <t>\RUM's\FIVE TEN</t>
  </si>
  <si>
    <t>\RUM's\FLY</t>
  </si>
  <si>
    <t>\RUM's\FREE CHOICE BY ELIS</t>
  </si>
  <si>
    <t>\RUM's\FREE PEOPLE</t>
  </si>
  <si>
    <t>\RUM's\FRYE</t>
  </si>
  <si>
    <t>\RUM's\FUBU</t>
  </si>
  <si>
    <t>\RUM's\GBX</t>
  </si>
  <si>
    <t>\RUM's\GEE WAWA</t>
  </si>
  <si>
    <t>\RUM's\GIORGIO BRUTINI</t>
  </si>
  <si>
    <t>\RUM's\GLERUPS</t>
  </si>
  <si>
    <t>\RUM's\GLOBE</t>
  </si>
  <si>
    <t>\RUM's\GRABBERS</t>
  </si>
  <si>
    <t>\RUM's\GRASSHOPPERS</t>
  </si>
  <si>
    <t>\RUM's\GRAVITY DEFYER</t>
  </si>
  <si>
    <t>\RUM's\HAFLINGER</t>
  </si>
  <si>
    <t>\RUM's\HAVAIANAS</t>
  </si>
  <si>
    <t>\RUM's\HEATON</t>
  </si>
  <si>
    <t>\RUM's\HEELYS</t>
  </si>
  <si>
    <t>\RUM's\HIND</t>
  </si>
  <si>
    <t>\RUM's\HI-TEC</t>
  </si>
  <si>
    <t>\RUM's\HOKA ONE</t>
  </si>
  <si>
    <t>\RUM's\HUNTER</t>
  </si>
  <si>
    <t>\RUM's\HURLEY</t>
  </si>
  <si>
    <t>\RUM's\HUSH PUPPIES</t>
  </si>
  <si>
    <t>\RUM's\IDIFU</t>
  </si>
  <si>
    <t>\RUM's\INC INTERNATIONAL CONCEPTS</t>
  </si>
  <si>
    <t>\RUM's\INKKAS</t>
  </si>
  <si>
    <t>\RUM's\INOV8</t>
  </si>
  <si>
    <t>\RUM's\IPATH</t>
  </si>
  <si>
    <t>\RUM's\IZOD</t>
  </si>
  <si>
    <t>\RUM's\JASON MARKK</t>
  </si>
  <si>
    <t>\RUM's\JESEPH ABBOUD</t>
  </si>
  <si>
    <t>\RUM's\JESSICA SIMPSON</t>
  </si>
  <si>
    <t>\RUM's\JOHNSTON &amp; MURPHY</t>
  </si>
  <si>
    <t>\RUM's\JOULES</t>
  </si>
  <si>
    <t>\RUM's\JOURNEE COLLECTION</t>
  </si>
  <si>
    <t>\RUM's\KAMIK</t>
  </si>
  <si>
    <t>\RUM's\KEDS</t>
  </si>
  <si>
    <t>\RUM's\KEEN</t>
  </si>
  <si>
    <t>\RUM's\KELSI DAGGER</t>
  </si>
  <si>
    <t>\RUM's\KENNETH COLE</t>
  </si>
  <si>
    <t>\RUM's\KHOMBU</t>
  </si>
  <si>
    <t>\RUM's\KSWISS</t>
  </si>
  <si>
    <t>\RUM's\LA GEAR</t>
  </si>
  <si>
    <t>\RUM's\LA SPORTIVA</t>
  </si>
  <si>
    <t>\RUM's\LACOSTE</t>
  </si>
  <si>
    <t>\RUM's\LACROSSE</t>
  </si>
  <si>
    <t>\RUM's\LEVIS</t>
  </si>
  <si>
    <t>\RUM's\LIVIE &amp; LUCA</t>
  </si>
  <si>
    <t>\RUM's\LRG</t>
  </si>
  <si>
    <t>\RUM's\LUGZ</t>
  </si>
  <si>
    <t>\RUM's\M4D3</t>
  </si>
  <si>
    <t>\RUM's\MADE</t>
  </si>
  <si>
    <t>\RUM's\MADEWELL</t>
  </si>
  <si>
    <t>\RUM's\MAGNUM</t>
  </si>
  <si>
    <t>\RUM's\MAKERS</t>
  </si>
  <si>
    <t>\RUM's\MARCECKO</t>
  </si>
  <si>
    <t>\RUM's\MARK NASON</t>
  </si>
  <si>
    <t>\RUM's\MELISSA</t>
  </si>
  <si>
    <t>\RUM's\MEPHISTO</t>
  </si>
  <si>
    <t>\RUM's\MERRELL</t>
  </si>
  <si>
    <t>\RUM's\MIA</t>
  </si>
  <si>
    <t>\RUM's\MICHAEL KORS</t>
  </si>
  <si>
    <t>\RUM's\MINI MELISSA</t>
  </si>
  <si>
    <t>\RUM's\MINNETONKA</t>
  </si>
  <si>
    <t>\RUM's\MIZUNO</t>
  </si>
  <si>
    <t>\RUM's\MONTRAIL</t>
  </si>
  <si>
    <t>\RUM's\NAOT</t>
  </si>
  <si>
    <t>\RUM's\NATIVE</t>
  </si>
  <si>
    <t>\RUM's\NEVADOS</t>
  </si>
  <si>
    <t>\RUM's\NEW BALANCE</t>
  </si>
  <si>
    <t>\RUM's\NEWTON</t>
  </si>
  <si>
    <t>\RUM's\NIKE</t>
  </si>
  <si>
    <t>\RUM's\NINE WEST</t>
  </si>
  <si>
    <t>\RUM's\NORTH FACE</t>
  </si>
  <si>
    <t>\RUM's\NUNN BUSH</t>
  </si>
  <si>
    <t>\RUM's\OBOZ</t>
  </si>
  <si>
    <t>\RUM's\OLD WEST</t>
  </si>
  <si>
    <t>\RUM's\OLUKAI</t>
  </si>
  <si>
    <t>\RUM's\ON</t>
  </si>
  <si>
    <t>\RUM's\OOFOS</t>
  </si>
  <si>
    <t>\RUM's\OSIRIS</t>
  </si>
  <si>
    <t>\RUM's\OTAH</t>
  </si>
  <si>
    <t>\RUM's\OTBT</t>
  </si>
  <si>
    <t>\RUM's\OTZ</t>
  </si>
  <si>
    <t>\RUM's\PACIFIC MOUNTAIN</t>
  </si>
  <si>
    <t>\RUM's\PACIFIC TRAIL</t>
  </si>
  <si>
    <t>\RUM's\PALLADIUM</t>
  </si>
  <si>
    <t>\RUM's\PAPILLIO</t>
  </si>
  <si>
    <t>\RUM's\PASTRY</t>
  </si>
  <si>
    <t>\RUM's\PEARL IZUMI</t>
  </si>
  <si>
    <t>\RUM's\PENGUIN</t>
  </si>
  <si>
    <t>\RUM's\PEOPLE</t>
  </si>
  <si>
    <t>\RUM's\PF FLYERS</t>
  </si>
  <si>
    <t>\RUM's\PIKOLINOS</t>
  </si>
  <si>
    <t>\RUM's\POLO RALPH LAUREN</t>
  </si>
  <si>
    <t>\RUM's\PONY</t>
  </si>
  <si>
    <t>\RUM's\PRADA</t>
  </si>
  <si>
    <t>\RUM's\PRINCE</t>
  </si>
  <si>
    <t>\RUM's\PROJECT EMOTION</t>
  </si>
  <si>
    <t>\RUM's\PROPET</t>
  </si>
  <si>
    <t>\RUM's\PROTEGE</t>
  </si>
  <si>
    <t>\RUM's\PUMA</t>
  </si>
  <si>
    <t>\RUM's\QUIKSILVER</t>
  </si>
  <si>
    <t>\RUM's\RADII</t>
  </si>
  <si>
    <t>\RUM's\RAINBOW</t>
  </si>
  <si>
    <t>\RUM's\RANSOM</t>
  </si>
  <si>
    <t>\RUM's\RED WING</t>
  </si>
  <si>
    <t>\RUM's\REEBOK</t>
  </si>
  <si>
    <t>\RUM's\REEF</t>
  </si>
  <si>
    <t>\RUM's\REPORT</t>
  </si>
  <si>
    <t>\RUM's\REVITALIGN</t>
  </si>
  <si>
    <t>\RUM's\RIDDELL</t>
  </si>
  <si>
    <t>\RUM's\ROCAWEAR</t>
  </si>
  <si>
    <t>\RUM's\ROCKET DOG</t>
  </si>
  <si>
    <t>\RUM's\ROCKPORT</t>
  </si>
  <si>
    <t>\RUM's\RUBY</t>
  </si>
  <si>
    <t>\RUM's\RYKA</t>
  </si>
  <si>
    <t>\RUM's\SALEWA</t>
  </si>
  <si>
    <t>\RUM's\SALMING</t>
  </si>
  <si>
    <t>\RUM's\SALOMON</t>
  </si>
  <si>
    <t>\RUM's\SALT WATER</t>
  </si>
  <si>
    <t>\RUM's\SALVATORE FERRAGAMO</t>
  </si>
  <si>
    <t>\RUM's\SANITA</t>
  </si>
  <si>
    <t>\RUM's\SANUK</t>
  </si>
  <si>
    <t>\RUM's\SAS</t>
  </si>
  <si>
    <t>\RUM's\SAUCONY</t>
  </si>
  <si>
    <t>\RUM's\SCARPA</t>
  </si>
  <si>
    <t>\RUM's\SEAN JOHN</t>
  </si>
  <si>
    <t>\RUM's\SEAVEES</t>
  </si>
  <si>
    <t>\RUM's\SEE KAI RUN</t>
  </si>
  <si>
    <t>\RUM's\SELENA GOMEZ</t>
  </si>
  <si>
    <t>\RUM's\SEYCHELLES</t>
  </si>
  <si>
    <t>\RUM's\SKADOO</t>
  </si>
  <si>
    <t>\RUM's\SKECHERS</t>
  </si>
  <si>
    <t>\RUM's\SNKR PROJECT</t>
  </si>
  <si>
    <t>\RUM's\SOLE</t>
  </si>
  <si>
    <t>\RUM's\SOREL</t>
  </si>
  <si>
    <t>\RUM's\SOUTH POLE</t>
  </si>
  <si>
    <t>\RUM's\SPERRY</t>
  </si>
  <si>
    <t>\RUM's\SPIRA</t>
  </si>
  <si>
    <t>\RUM's\SPRING STEP</t>
  </si>
  <si>
    <t>\RUM's\STACY ADAMS</t>
  </si>
  <si>
    <t>\RUM's\STEVE MADDEN</t>
  </si>
  <si>
    <t>\RUM's\STRIDE RITE</t>
  </si>
  <si>
    <t>\RUM's\SUMIKKO</t>
  </si>
  <si>
    <t>\RUM's\SUPERDRY</t>
  </si>
  <si>
    <t>\RUM's\SUPRA</t>
  </si>
  <si>
    <t>\RUM's\TEK GEAR</t>
  </si>
  <si>
    <t>\RUM's\testing</t>
  </si>
  <si>
    <t>\RUM's\TEVA</t>
  </si>
  <si>
    <t>\RUM's\THOMAS &amp; FRIENDS</t>
  </si>
  <si>
    <t>\RUM's\TIDAL</t>
  </si>
  <si>
    <t>\RUM's\TIMBERLAND</t>
  </si>
  <si>
    <t>\RUM's\TODD</t>
  </si>
  <si>
    <t>\RUM's\TOMMY HILFIGER</t>
  </si>
  <si>
    <t>\RUM's\TOMS</t>
  </si>
  <si>
    <t>\RUM's\TOPO</t>
  </si>
  <si>
    <t>\RUM's\TOTES</t>
  </si>
  <si>
    <t>\RUM's\TREDSAFE</t>
  </si>
  <si>
    <t>\RUM's\TRETORN</t>
  </si>
  <si>
    <t>\RUM's\TROOPERS</t>
  </si>
  <si>
    <t>\RUM's\TROTTERS</t>
  </si>
  <si>
    <t>\RUM's\TRUSOL</t>
  </si>
  <si>
    <t>\RUM's\TWISTED</t>
  </si>
  <si>
    <t>\RUM's\UGG</t>
  </si>
  <si>
    <t>\RUM's\UIN</t>
  </si>
  <si>
    <t>\RUM's\UNDER ARMOUR</t>
  </si>
  <si>
    <t>\RUM's\UNITED NUDE</t>
  </si>
  <si>
    <t>\RUM's\UNITED SHOES OF AMERICA</t>
  </si>
  <si>
    <t>\RUM's\URBAN FOX</t>
  </si>
  <si>
    <t>\RUM's\US POLO</t>
  </si>
  <si>
    <t>\RUM's\VANS</t>
  </si>
  <si>
    <t>\RUM's\VIBRAM</t>
  </si>
  <si>
    <t>\RUM's\VINCE CAMUTO</t>
  </si>
  <si>
    <t>\RUM's\VIONIC</t>
  </si>
  <si>
    <t>\RUM's\VIVIANLY</t>
  </si>
  <si>
    <t>\RUM's\VLADO</t>
  </si>
  <si>
    <t>\RUM's\WEESTEP</t>
  </si>
  <si>
    <t>\RUM's\WHITE MOUNTAIN</t>
  </si>
  <si>
    <t>\RUM's\WORRIOR</t>
  </si>
  <si>
    <t>\RUM's\YO GABBA GABBA</t>
  </si>
  <si>
    <t>\RUM's\ZOE + LUCA</t>
  </si>
  <si>
    <t>\RUM's\ZOOLIGAN</t>
  </si>
  <si>
    <t>\RUM's\ZOOT</t>
  </si>
  <si>
    <t>\RUM's\ZUMBA</t>
  </si>
  <si>
    <t>\RUM's\.BridgeSort</t>
  </si>
  <si>
    <t>\AB\ADIDAS</t>
  </si>
  <si>
    <t>\AB\ALTRA</t>
  </si>
  <si>
    <t>\AB\ASICS</t>
  </si>
  <si>
    <t>\AB\ATHLETIC PROPULSION LABS</t>
  </si>
  <si>
    <t>\AB\AVIA</t>
  </si>
  <si>
    <t>\AB\BEARPAW</t>
  </si>
  <si>
    <t>\AB\BIRKENSTOCK</t>
  </si>
  <si>
    <t>\AB\BLUNDSTONE</t>
  </si>
  <si>
    <t>\AB\BROOKS</t>
  </si>
  <si>
    <t>\AB\BROWNING</t>
  </si>
  <si>
    <t>\AB\CARTERS</t>
  </si>
  <si>
    <t>\AB\COLE HAAN</t>
  </si>
  <si>
    <t>\AB\COLUMBIA</t>
  </si>
  <si>
    <t>\AB\CONVERSE</t>
  </si>
  <si>
    <t>\AB\CREATIVE REC</t>
  </si>
  <si>
    <t>\AB\CROCS</t>
  </si>
  <si>
    <t>\AB\DANNER</t>
  </si>
  <si>
    <t>\AB\DC</t>
  </si>
  <si>
    <t>\AB\DIADORA</t>
  </si>
  <si>
    <t>\AB\DIESEL</t>
  </si>
  <si>
    <t>\AB\DR MARTENS</t>
  </si>
  <si>
    <t>\AB\DUNHAM</t>
  </si>
  <si>
    <t>\AB\DVS</t>
  </si>
  <si>
    <t>\AB\EMU</t>
  </si>
  <si>
    <t>\AB\ETNIES</t>
  </si>
  <si>
    <t>\AB\FILA</t>
  </si>
  <si>
    <t>\AB\FITFLOP</t>
  </si>
  <si>
    <t>\AB\GOURMET</t>
  </si>
  <si>
    <t>\AB\GRAVITY DEFYER</t>
  </si>
  <si>
    <t>\AB\HAVAIANAS</t>
  </si>
  <si>
    <t>\AB\HEELYS</t>
  </si>
  <si>
    <t>\AB\HELLY HANSEN</t>
  </si>
  <si>
    <t>\AB\HEY DUDE</t>
  </si>
  <si>
    <t>\AB\HOKA ONE ONE</t>
  </si>
  <si>
    <t>\AB\HUNTER</t>
  </si>
  <si>
    <t>\AB\IMPALA</t>
  </si>
  <si>
    <t>\AB\INKKAS</t>
  </si>
  <si>
    <t>\AB\Johnston &amp; Murphy</t>
  </si>
  <si>
    <t>\AB\KEEN</t>
  </si>
  <si>
    <t>\AB\KSWISS</t>
  </si>
  <si>
    <t>\AB\LA SPORTIVA</t>
  </si>
  <si>
    <t>\AB\LACOSTE</t>
  </si>
  <si>
    <t>\AB\LACROSSE</t>
  </si>
  <si>
    <t>\AB\MERRELL</t>
  </si>
  <si>
    <t>\AB\MINNETONKA</t>
  </si>
  <si>
    <t>\AB\MIZUNO</t>
  </si>
  <si>
    <t>\AB\NATIVE</t>
  </si>
  <si>
    <t>\AB\NEW BALANCE</t>
  </si>
  <si>
    <t>\AB\NIKE</t>
  </si>
  <si>
    <t>\AB\NORTH FACE</t>
  </si>
  <si>
    <t>\AB\ON</t>
  </si>
  <si>
    <t>\AB\ONEMIX</t>
  </si>
  <si>
    <t>\AB\OOFOS</t>
  </si>
  <si>
    <t>\AB\OSIRIS</t>
  </si>
  <si>
    <t>\AB\OTZ</t>
  </si>
  <si>
    <t>\AB\PAPILLIO</t>
  </si>
  <si>
    <t>\AB\PUMA</t>
  </si>
  <si>
    <t>\AB\RED WING</t>
  </si>
  <si>
    <t>\AB\REEBOK</t>
  </si>
  <si>
    <t>\AB\REEF</t>
  </si>
  <si>
    <t>\AB\ROCKETDOG</t>
  </si>
  <si>
    <t>\AB\SALOMON</t>
  </si>
  <si>
    <t>\AB\SANUK</t>
  </si>
  <si>
    <t>\AB\SAUCONY</t>
  </si>
  <si>
    <t>\AB\SEE KAI RUN</t>
  </si>
  <si>
    <t>\AB\SKECHERS</t>
  </si>
  <si>
    <t>\AB\SOLUDOS</t>
  </si>
  <si>
    <t>\AB\SOREL</t>
  </si>
  <si>
    <t>\AB\SPIRA</t>
  </si>
  <si>
    <t>\AB\SUPRA</t>
  </si>
  <si>
    <t>\AB\TIMBERLAND</t>
  </si>
  <si>
    <t>\AB\TOMS</t>
  </si>
  <si>
    <t>\AB\TOPO</t>
  </si>
  <si>
    <t>\AB\UNDER ARMOUR</t>
  </si>
  <si>
    <t>\AB\VANS</t>
  </si>
  <si>
    <t>\AB\VIONIC</t>
  </si>
  <si>
    <t>\SCK\@BOXES</t>
  </si>
  <si>
    <t>\SCK\@testing</t>
  </si>
  <si>
    <t>\SCK\361 DEGREES</t>
  </si>
  <si>
    <t>\SCK\ADIDAS</t>
  </si>
  <si>
    <t>\SCK\ALTRA</t>
  </si>
  <si>
    <t>\SCK\ASICS</t>
  </si>
  <si>
    <t>\SCK\BIRKENSTOCK</t>
  </si>
  <si>
    <t>\SCK\BLUNDSTONE</t>
  </si>
  <si>
    <t>\SCK\BORN</t>
  </si>
  <si>
    <t>\SCK\CHAMPION</t>
  </si>
  <si>
    <t>\SCK\CONVERSE</t>
  </si>
  <si>
    <t>\SCK\DANNERS</t>
  </si>
  <si>
    <t>\SCK\DC</t>
  </si>
  <si>
    <t>\SCK\DR. MARTENS</t>
  </si>
  <si>
    <t>\SCK\DVS</t>
  </si>
  <si>
    <t>\SCK\FILA</t>
  </si>
  <si>
    <t>\SCK\HOKA</t>
  </si>
  <si>
    <t>\SCK\HUNTER</t>
  </si>
  <si>
    <t>\SCK\KEEN</t>
  </si>
  <si>
    <t>\SCK\KSWISS</t>
  </si>
  <si>
    <t>\SCK\LA SPORTIVA</t>
  </si>
  <si>
    <t>\SCK\LACROSSE</t>
  </si>
  <si>
    <t>\SCK\LUGZ</t>
  </si>
  <si>
    <t>\SCK\MERRELL</t>
  </si>
  <si>
    <t>\SCK\NATIVE</t>
  </si>
  <si>
    <t>\SCK\NEW BALANCE</t>
  </si>
  <si>
    <t>\SCK\NIKE</t>
  </si>
  <si>
    <t>\SCK\NORTH FACE</t>
  </si>
  <si>
    <t>\SCK\ON</t>
  </si>
  <si>
    <t>\SCK\PAPILLIO</t>
  </si>
  <si>
    <t>\SCK\PENGUIN</t>
  </si>
  <si>
    <t>\SCK\PUMA</t>
  </si>
  <si>
    <t>\SCK\RED WING</t>
  </si>
  <si>
    <t>\SCK\REEBOK</t>
  </si>
  <si>
    <t>\SCK\REEF</t>
  </si>
  <si>
    <t>\SCK\SALOMON</t>
  </si>
  <si>
    <t>\SCK\SANUK</t>
  </si>
  <si>
    <t>\SCK\SAUCONY</t>
  </si>
  <si>
    <t>\SCK\SKECHERS</t>
  </si>
  <si>
    <t>\SCK\SOREL</t>
  </si>
  <si>
    <t>\SCK\SPERRY</t>
  </si>
  <si>
    <t>\SCK\SPIRA</t>
  </si>
  <si>
    <t>\SCK\SUPRA</t>
  </si>
  <si>
    <t>\SCK\TOMS</t>
  </si>
  <si>
    <t>\SCK\TOPO</t>
  </si>
  <si>
    <t>\SCK\VANS</t>
  </si>
  <si>
    <t>\SCK\VIONIC</t>
  </si>
  <si>
    <t>\SCK\ZOOLIGANS</t>
  </si>
  <si>
    <t>\ATTIC\@@CurrentPO</t>
  </si>
  <si>
    <t>\ATTIC\@@README</t>
  </si>
  <si>
    <t>\ATTIC\ADIDAS</t>
  </si>
  <si>
    <t>\ATTIC\ALTRA</t>
  </si>
  <si>
    <t>\ATTIC\ASICS</t>
  </si>
  <si>
    <t>\ATTIC\BIRKENSTOCK</t>
  </si>
  <si>
    <t>\ATTIC\BLUNDSTONE</t>
  </si>
  <si>
    <t>\ATTIC\COLE HAAN</t>
  </si>
  <si>
    <t>\ATTIC\CONVERSE</t>
  </si>
  <si>
    <t>\ATTIC\DR MARTENS</t>
  </si>
  <si>
    <t>\ATTIC\HUNTER</t>
  </si>
  <si>
    <t>\ATTIC\LA SPORTIVA</t>
  </si>
  <si>
    <t>\ATTIC\NEW BALANCE</t>
  </si>
  <si>
    <t>\ATTIC\ON</t>
  </si>
  <si>
    <t>\ATTIC\ONITSUKA TIGER</t>
  </si>
  <si>
    <t>\ATTIC\PUMA</t>
  </si>
  <si>
    <t>\ATTIC\RED WING</t>
  </si>
  <si>
    <t>\ATTIC\REEBOK</t>
  </si>
  <si>
    <t>\ATTIC\SALOMON</t>
  </si>
  <si>
    <t>\ATTIC\SAUCONY</t>
  </si>
  <si>
    <t>\ATTIC\TOPO ATHLETIC</t>
  </si>
  <si>
    <t>\ATTIC\UGG</t>
  </si>
  <si>
    <t>\ATTIC\UNDER ARMOUR</t>
  </si>
  <si>
    <t>\ATTIC\VANS</t>
  </si>
  <si>
    <t>\ATTIC\VIONIC</t>
  </si>
  <si>
    <t>\ATTIC\@Lists.xlsx</t>
  </si>
  <si>
    <t>\ATTIC\naming_conventions.jpg</t>
  </si>
  <si>
    <t>\ATTIC\naming_conventions.psd</t>
  </si>
  <si>
    <t>\@APPAREL FOR ALL\@@MISSING RF APPAREL</t>
  </si>
  <si>
    <t>\@APPAREL FOR ALL\@@READ ME</t>
  </si>
  <si>
    <t>\@APPAREL FOR ALL\@CONVERSE</t>
  </si>
  <si>
    <t>\@APPAREL FOR ALL\@MISC BRANDS STOCK IMAGES</t>
  </si>
  <si>
    <t>\@APPAREL FOR ALL\2TOMS</t>
  </si>
  <si>
    <t>\@APPAREL FOR ALL\2XU</t>
  </si>
  <si>
    <t>\@APPAREL FOR ALL\4TH AND 1</t>
  </si>
  <si>
    <t>\@APPAREL FOR ALL\5TH &amp; OCEAN</t>
  </si>
  <si>
    <t>\@APPAREL FOR ALL\9FIVE</t>
  </si>
  <si>
    <t>\@APPAREL FOR ALL\10 DEEP</t>
  </si>
  <si>
    <t>\@APPAREL FOR ALL\47 BRAND</t>
  </si>
  <si>
    <t>\@APPAREL FOR ALL\77 CITY</t>
  </si>
  <si>
    <t>\@APPAREL FOR ALL\110%</t>
  </si>
  <si>
    <t>\@APPAREL FOR ALL\289C APPAREL</t>
  </si>
  <si>
    <t>\@APPAREL FOR ALL\A.P.C. PETIT STANDARD</t>
  </si>
  <si>
    <t>\@APPAREL FOR ALL\A4</t>
  </si>
  <si>
    <t>\@APPAREL FOR ALL\ACTIVE BASIC</t>
  </si>
  <si>
    <t>\@APPAREL FOR ALL\ADIDAS</t>
  </si>
  <si>
    <t>\@APPAREL FOR ALL\ALALA</t>
  </si>
  <si>
    <t>\@APPAREL FOR ALL\ALLEGRA K</t>
  </si>
  <si>
    <t>\@APPAREL FOR ALL\ALMOST FAMOUS</t>
  </si>
  <si>
    <t>\@APPAREL FOR ALL\ALO YOGA</t>
  </si>
  <si>
    <t>\@APPAREL FOR ALL\AMBIANCE APPAREL</t>
  </si>
  <si>
    <t>\@APPAREL FOR ALL\AMERICAN APPAREL</t>
  </si>
  <si>
    <t>\@APPAREL FOR ALL\AMETHYST</t>
  </si>
  <si>
    <t>\@APPAREL FOR ALL\ANN TAYLOR</t>
  </si>
  <si>
    <t>\@APPAREL FOR ALL\ANTIGUA</t>
  </si>
  <si>
    <t>\@APPAREL FOR ALL\ANUE</t>
  </si>
  <si>
    <t>\@APPAREL FOR ALL\ARCHIVE PICTURE</t>
  </si>
  <si>
    <t>\@APPAREL FOR ALL\ARMPOCKET</t>
  </si>
  <si>
    <t>\@APPAREL FOR ALL\ASICS</t>
  </si>
  <si>
    <t>\@APPAREL FOR ALL\Avalanche Supply</t>
  </si>
  <si>
    <t>\@APPAREL FOR ALL\B.O.A</t>
  </si>
  <si>
    <t>\@APPAREL FOR ALL\BAGS FOR LESS</t>
  </si>
  <si>
    <t>\@APPAREL FOR ALL\BALEGA</t>
  </si>
  <si>
    <t>\@APPAREL FOR ALL\BAYSIX</t>
  </si>
  <si>
    <t>\@APPAREL FOR ALL\BEYOND YOGA</t>
  </si>
  <si>
    <t>\@APPAREL FOR ALL\BILLIONAIRE BOYS CLUB</t>
  </si>
  <si>
    <t>\@APPAREL FOR ALL\BIO RELIEF</t>
  </si>
  <si>
    <t>\@APPAREL FOR ALL\BIRKENSTOCK</t>
  </si>
  <si>
    <t>\@APPAREL FOR ALL\BLBD</t>
  </si>
  <si>
    <t>\@APPAREL FOR ALL\BLUE 84</t>
  </si>
  <si>
    <t>\@APPAREL FOR ALL\BLUE ASPHALT</t>
  </si>
  <si>
    <t>\@APPAREL FOR ALL\BLUESEVENTY</t>
  </si>
  <si>
    <t>\@APPAREL FOR ALL\BORN X RAISED</t>
  </si>
  <si>
    <t>\@APPAREL FOR ALL\BRAVADO</t>
  </si>
  <si>
    <t>\@APPAREL FOR ALL\BROOKLYN PROJECTS</t>
  </si>
  <si>
    <t>\@APPAREL FOR ALL\BROOKS</t>
  </si>
  <si>
    <t>\@APPAREL FOR ALL\BUFF</t>
  </si>
  <si>
    <t>\@APPAREL FOR ALL\CALVIN KLEIN</t>
  </si>
  <si>
    <t>\@APPAREL FOR ALL\CAMELBAK</t>
  </si>
  <si>
    <t>\@APPAREL FOR ALL\CAMP DAVID</t>
  </si>
  <si>
    <t>\@APPAREL FOR ALL\CAPABLES</t>
  </si>
  <si>
    <t>\@APPAREL FOR ALL\CAPEZIO</t>
  </si>
  <si>
    <t>\@APPAREL FOR ALL\CARROTS</t>
  </si>
  <si>
    <t>\@APPAREL FOR ALL\CASIO</t>
  </si>
  <si>
    <t>\@APPAREL FOR ALL\CCM</t>
  </si>
  <si>
    <t>\@APPAREL FOR ALL\CELEBRITY PINK</t>
  </si>
  <si>
    <t>\@APPAREL FOR ALL\CELLO</t>
  </si>
  <si>
    <t>\@APPAREL FOR ALL\CEP</t>
  </si>
  <si>
    <t>\@APPAREL FOR ALL\CHALA</t>
  </si>
  <si>
    <t>\@APPAREL FOR ALL\CHAMPION</t>
  </si>
  <si>
    <t>\@APPAREL FOR ALL\CHINATOWN MARKET</t>
  </si>
  <si>
    <t>\@APPAREL FOR ALL\CHO-PAT</t>
  </si>
  <si>
    <t>\@APPAREL FOR ALL\CIRCA</t>
  </si>
  <si>
    <t>\@APPAREL FOR ALL\CLASSIC</t>
  </si>
  <si>
    <t>\@APPAREL FOR ALL\CLASSY</t>
  </si>
  <si>
    <t>\@APPAREL FOR ALL\CLSC</t>
  </si>
  <si>
    <t>\@APPAREL FOR ALL\COCA COLA</t>
  </si>
  <si>
    <t>\@APPAREL FOR ALL\COLLEGE CONCEPTS</t>
  </si>
  <si>
    <t>\@APPAREL FOR ALL\COLOSSEUM</t>
  </si>
  <si>
    <t>\@APPAREL FOR ALL\COLUMBIA</t>
  </si>
  <si>
    <t>\@APPAREL FOR ALL\CONDOR</t>
  </si>
  <si>
    <t>\@APPAREL FOR ALL\CONVERSE</t>
  </si>
  <si>
    <t>\@APPAREL FOR ALL\COOL WEAR</t>
  </si>
  <si>
    <t>\@APPAREL FOR ALL\CORE STRETCH</t>
  </si>
  <si>
    <t>\@APPAREL FOR ALL\COVER ONE APPAREL</t>
  </si>
  <si>
    <t>\@APPAREL FOR ALL\CPO PROVISIONS</t>
  </si>
  <si>
    <t>\@APPAREL FOR ALL\CRAFT</t>
  </si>
  <si>
    <t>\@APPAREL FOR ALL\CREATIVE RECREATION</t>
  </si>
  <si>
    <t>\@APPAREL FOR ALL\CREEK</t>
  </si>
  <si>
    <t>\@APPAREL FOR ALL\CREP PROTECT</t>
  </si>
  <si>
    <t>\@APPAREL FOR ALL\CROCS</t>
  </si>
  <si>
    <t>\@APPAREL FOR ALL\CROOKS &amp; CASTLES</t>
  </si>
  <si>
    <t>\@APPAREL FOR ALL\CROOKS AND CASTLES</t>
  </si>
  <si>
    <t>\@APPAREL FOR ALL\CW-X</t>
  </si>
  <si>
    <t>\@APPAREL FOR ALL\DailyRitval</t>
  </si>
  <si>
    <t>\@APPAREL FOR ALL\DAKINE</t>
  </si>
  <si>
    <t>\@APPAREL FOR ALL\DARN TOUGH</t>
  </si>
  <si>
    <t>\@APPAREL FOR ALL\DE SOTO</t>
  </si>
  <si>
    <t>\@APPAREL FOR ALL\DELTA</t>
  </si>
  <si>
    <t>\@APPAREL FOR ALL\DENALI</t>
  </si>
  <si>
    <t>\@APPAREL FOR ALL\DICKIES</t>
  </si>
  <si>
    <t>\@APPAREL FOR ALL\DINIFEN</t>
  </si>
  <si>
    <t>\@APPAREL FOR ALL\DISNEY</t>
  </si>
  <si>
    <t>\@APPAREL FOR ALL\DISTANT REPLAYS</t>
  </si>
  <si>
    <t>\@APPAREL FOR ALL\DRYMAX</t>
  </si>
  <si>
    <t>\@APPAREL FOR ALL\DSTLD</t>
  </si>
  <si>
    <t>\@APPAREL FOR ALL\Dstruct</t>
  </si>
  <si>
    <t>\@APPAREL FOR ALL\E5</t>
  </si>
  <si>
    <t>\@APPAREL FOR ALL\ELLESSE</t>
  </si>
  <si>
    <t>\@APPAREL FOR ALL\EMBELLISH</t>
  </si>
  <si>
    <t>\@APPAREL FOR ALL\EMPORIO ARMANI</t>
  </si>
  <si>
    <t>\@APPAREL FOR ALL\ENELL</t>
  </si>
  <si>
    <t>\@APPAREL FOR ALL\EVEREST</t>
  </si>
  <si>
    <t>\@APPAREL FOR ALL\EXPERIA</t>
  </si>
  <si>
    <t>\@APPAREL FOR ALL\EXPRESS</t>
  </si>
  <si>
    <t>\@APPAREL FOR ALL\FANSLEEVES</t>
  </si>
  <si>
    <t>\@APPAREL FOR ALL\FASHION MASK</t>
  </si>
  <si>
    <t>\@APPAREL FOR ALL\FBF ORIGINALS</t>
  </si>
  <si>
    <t>\@APPAREL FOR ALL\FEETURES</t>
  </si>
  <si>
    <t>\@APPAREL FOR ALL\FILA</t>
  </si>
  <si>
    <t>\@APPAREL FOR ALL\FINISHLINE</t>
  </si>
  <si>
    <t>\@APPAREL FOR ALL\FITKICKS</t>
  </si>
  <si>
    <t>\@APPAREL FOR ALL\FITLETIC</t>
  </si>
  <si>
    <t>\@APPAREL FOR ALL\FITS</t>
  </si>
  <si>
    <t>\@APPAREL FOR ALL\FIVE FOUR</t>
  </si>
  <si>
    <t>\@APPAREL FOR ALL\FJALLRAVEN</t>
  </si>
  <si>
    <t>\@APPAREL FOR ALL\FLAT FITTY</t>
  </si>
  <si>
    <t>\@APPAREL FOR ALL\FLUD</t>
  </si>
  <si>
    <t>\@APPAREL FOR ALL\FOR BARE FEET</t>
  </si>
  <si>
    <t>\@APPAREL FOR ALL\FOREVER COLECTIBLES</t>
  </si>
  <si>
    <t>\@APPAREL FOR ALL\FOYIPD</t>
  </si>
  <si>
    <t>\@APPAREL FOR ALL\FREE CHOICE</t>
  </si>
  <si>
    <t>\@APPAREL FOR ALL\FREESTYLE</t>
  </si>
  <si>
    <t>\@APPAREL FOR ALL\FREEZE</t>
  </si>
  <si>
    <t>\@APPAREL FOR ALL\FUN WORLD</t>
  </si>
  <si>
    <t>\@APPAREL FOR ALL\G SHOCK</t>
  </si>
  <si>
    <t>\@APPAREL FOR ALL\GARDEN HOME OUTDOOR</t>
  </si>
  <si>
    <t>\@APPAREL FOR ALL\GARMIN</t>
  </si>
  <si>
    <t>\@APPAREL FOR ALL\GEN 2 SPORTS</t>
  </si>
  <si>
    <t>\@APPAREL FOR ALL\GEOPALZ</t>
  </si>
  <si>
    <t>\@APPAREL FOR ALL\GOOD FEET</t>
  </si>
  <si>
    <t>\@APPAREL FOR ALL\GRAND AC</t>
  </si>
  <si>
    <t>\@APPAREL FOR ALL\GYM KING</t>
  </si>
  <si>
    <t>\@APPAREL FOR ALL\H&amp;M</t>
  </si>
  <si>
    <t>\@APPAREL FOR ALL\HALLMARK</t>
  </si>
  <si>
    <t>\@APPAREL FOR ALL\HANKY PANKY</t>
  </si>
  <si>
    <t>\@APPAREL FOR ALL\HELEN</t>
  </si>
  <si>
    <t>\@APPAREL FOR ALL\HELINOX</t>
  </si>
  <si>
    <t>\@APPAREL FOR ALL\HELLO MELLO</t>
  </si>
  <si>
    <t>\@APPAREL FOR ALL\HELLY HANSEN</t>
  </si>
  <si>
    <t>\@APPAREL FOR ALL\HERSCHEL</t>
  </si>
  <si>
    <t>\@APPAREL FOR ALL\HIND</t>
  </si>
  <si>
    <t>\@APPAREL FOR ALL\HOBO</t>
  </si>
  <si>
    <t>\@APPAREL FOR ALL\HOKA ONE ONE</t>
  </si>
  <si>
    <t>\@APPAREL FOR ALL\HUF</t>
  </si>
  <si>
    <t>\@APPAREL FOR ALL\HURLEY</t>
  </si>
  <si>
    <t>\@APPAREL FOR ALL\I LOVE UGLY</t>
  </si>
  <si>
    <t>\@APPAREL FOR ALL\ICEBREAKER</t>
  </si>
  <si>
    <t>\@APPAREL FOR ALL\ILLUMINITE</t>
  </si>
  <si>
    <t>\@APPAREL FOR ALL\ILLUSIVE</t>
  </si>
  <si>
    <t>\@APPAREL FOR ALL\INC</t>
  </si>
  <si>
    <t>\@APPAREL FOR ALL\INVICTA</t>
  </si>
  <si>
    <t>\@APPAREL FOR ALL\IZOD</t>
  </si>
  <si>
    <t>\@APPAREL FOR ALL\J AMERICA</t>
  </si>
  <si>
    <t>\@APPAREL FOR ALL\JACKRABBIT</t>
  </si>
  <si>
    <t>\@APPAREL FOR ALL\JANJI</t>
  </si>
  <si>
    <t>\@APPAREL FOR ALL\JANSPORT</t>
  </si>
  <si>
    <t>\@APPAREL FOR ALL\JASON MARKK</t>
  </si>
  <si>
    <t>\@APPAREL FOR ALL\JH DESIGN</t>
  </si>
  <si>
    <t>\@APPAREL FOR ALL\Jordan</t>
  </si>
  <si>
    <t>\@APPAREL FOR ALL\JOUJOU</t>
  </si>
  <si>
    <t>\@APPAREL FOR ALL\JUICY COUTURE</t>
  </si>
  <si>
    <t>\@APPAREL FOR ALL\JUNKFOOD CLOTHING</t>
  </si>
  <si>
    <t>\@APPAREL FOR ALL\KATE MARIE</t>
  </si>
  <si>
    <t>\@APPAREL FOR ALL\KAVU</t>
  </si>
  <si>
    <t>\@APPAREL FOR ALL\KEEP A BREAST FOUNDATION</t>
  </si>
  <si>
    <t>\@APPAREL FOR ALL\KEVINS</t>
  </si>
  <si>
    <t>\@APPAREL FOR ALL\KIPLING</t>
  </si>
  <si>
    <t>\@APPAREL FOR ALL\KLEW</t>
  </si>
  <si>
    <t>\@APPAREL FOR ALL\KNIGHTS APPAREL</t>
  </si>
  <si>
    <t>\@APPAREL FOR ALL\KOMONO</t>
  </si>
  <si>
    <t>\@APPAREL FOR ALL\KSWISS</t>
  </si>
  <si>
    <t>\@APPAREL FOR ALL\LA SPORTIVA</t>
  </si>
  <si>
    <t>\@APPAREL FOR ALL\LACOSTE</t>
  </si>
  <si>
    <t>\@APPAREL FOR ALL\LEGENDS SPORTSWEAR</t>
  </si>
  <si>
    <t>\@APPAREL FOR ALL\LEI</t>
  </si>
  <si>
    <t>\@APPAREL FOR ALL\LEVI</t>
  </si>
  <si>
    <t>\@APPAREL FOR ALL\LEVIS</t>
  </si>
  <si>
    <t>\@APPAREL FOR ALL\LIJA STYLE</t>
  </si>
  <si>
    <t>\@APPAREL FOR ALL\LOCAL SUPPLY</t>
  </si>
  <si>
    <t>\@APPAREL FOR ALL\LOFT</t>
  </si>
  <si>
    <t>\@APPAREL FOR ALL\LOL</t>
  </si>
  <si>
    <t>\@APPAREL FOR ALL\LOL SURPRISE</t>
  </si>
  <si>
    <t>\@APPAREL FOR ALL\LOLE</t>
  </si>
  <si>
    <t>\@APPAREL FOR ALL\LOOKSEE</t>
  </si>
  <si>
    <t>\@APPAREL FOR ALL\LOU &amp; GREY</t>
  </si>
  <si>
    <t>\@APPAREL FOR ALL\LOUIS GARNEAU</t>
  </si>
  <si>
    <t>\@APPAREL FOR ALL\LUCY</t>
  </si>
  <si>
    <t>\@APPAREL FOR ALL\MAJESTIC</t>
  </si>
  <si>
    <t>\@APPAREL FOR ALL\MAMIA</t>
  </si>
  <si>
    <t>\@APPAREL FOR ALL\MARK</t>
  </si>
  <si>
    <t>\@APPAREL FOR ALL\MARVEL</t>
  </si>
  <si>
    <t>\@APPAREL FOR ALL\MEISTER</t>
  </si>
  <si>
    <t>\@APPAREL FOR ALL\MICHAEL KORS</t>
  </si>
  <si>
    <t>\@APPAREL FOR ALL\MIO</t>
  </si>
  <si>
    <t>\@APPAREL FOR ALL\MISC</t>
  </si>
  <si>
    <t>\@APPAREL FOR ALL\MITCHELL &amp; NESS</t>
  </si>
  <si>
    <t>\@APPAREL FOR ALL\MIZUNO</t>
  </si>
  <si>
    <t>\@APPAREL FOR ALL\MOHEEN</t>
  </si>
  <si>
    <t>\@APPAREL FOR ALL\MONARCHY</t>
  </si>
  <si>
    <t>\@APPAREL FOR ALL\MOSLEY TRIBES</t>
  </si>
  <si>
    <t>\@APPAREL FOR ALL\MOTOR TREND</t>
  </si>
  <si>
    <t>\@APPAREL FOR ALL\MOVING COMFORT</t>
  </si>
  <si>
    <t>\@APPAREL FOR ALL\MPG</t>
  </si>
  <si>
    <t>\@APPAREL FOR ALL\MSS images</t>
  </si>
  <si>
    <t>\@APPAREL FOR ALL\MY LITTLE PONY</t>
  </si>
  <si>
    <t>\@APPAREL FOR ALL\NATHAN</t>
  </si>
  <si>
    <t>\@APPAREL FOR ALL\NAUTICA</t>
  </si>
  <si>
    <t>\@APPAREL FOR ALL\NEFF</t>
  </si>
  <si>
    <t>\@APPAREL FOR ALL\NEW BALANCE</t>
  </si>
  <si>
    <t>\@APPAREL FOR ALL\NEW ERA CAP</t>
  </si>
  <si>
    <t>\@APPAREL FOR ALL\NFL</t>
  </si>
  <si>
    <t>\@APPAREL FOR ALL\NICCE</t>
  </si>
  <si>
    <t>\@APPAREL FOR ALL\NICKELODEON</t>
  </si>
  <si>
    <t>\@APPAREL FOR ALL\NIKE</t>
  </si>
  <si>
    <t>\@APPAREL FOR ALL\NIXON</t>
  </si>
  <si>
    <t>\@APPAREL FOR ALL\NONE</t>
  </si>
  <si>
    <t>\@APPAREL FOR ALL\NORMA JEANE</t>
  </si>
  <si>
    <t>\@APPAREL FOR ALL\NORTH FACE</t>
  </si>
  <si>
    <t>\@APPAREL FOR ALL\OAK</t>
  </si>
  <si>
    <t>\@APPAREL FOR ALL\OAKLEY</t>
  </si>
  <si>
    <t>\@APPAREL FOR ALL\OBEY</t>
  </si>
  <si>
    <t>\@APPAREL FOR ALL\OCEANLIN</t>
  </si>
  <si>
    <t>\@APPAREL FOR ALL\OHIO STATE VARSITY AUTHENTIC APPAREL</t>
  </si>
  <si>
    <t>\@APPAREL FOR ALL\OISELLE</t>
  </si>
  <si>
    <t>\@APPAREL FOR ALL\OLD TIME SPORTS</t>
  </si>
  <si>
    <t>\@APPAREL FOR ALL\OLD VARSITY</t>
  </si>
  <si>
    <t>\@APPAREL FOR ALL\OLIVER PEOPLE</t>
  </si>
  <si>
    <t>\@APPAREL FOR ALL\ON RUNNING</t>
  </si>
  <si>
    <t>\@APPAREL FOR ALL\ORANGE MUD</t>
  </si>
  <si>
    <t>\@APPAREL FOR ALL\ORORO</t>
  </si>
  <si>
    <t>\@APPAREL FOR ALL\OSHKOSH BGOSH</t>
  </si>
  <si>
    <t>\@APPAREL FOR ALL\OSPRAY</t>
  </si>
  <si>
    <t>\@APPAREL FOR ALL\OSU OFFICIAL</t>
  </si>
  <si>
    <t>\@APPAREL FOR ALL\OTAH</t>
  </si>
  <si>
    <t>\@APPAREL FOR ALL\OURAY</t>
  </si>
  <si>
    <t>\@APPAREL FOR ALL\OVB</t>
  </si>
  <si>
    <t>\@APPAREL FOR ALL\PANACHE</t>
  </si>
  <si>
    <t>\@APPAREL FOR ALL\PAPER PLANES</t>
  </si>
  <si>
    <t>\@APPAREL FOR ALL\PARKLAND</t>
  </si>
  <si>
    <t>\@APPAREL FOR ALL\PEARL IZUMI</t>
  </si>
  <si>
    <t>\@APPAREL FOR ALL\PINGOD</t>
  </si>
  <si>
    <t>\@APPAREL FOR ALL\PINK SODA</t>
  </si>
  <si>
    <t>\@APPAREL FOR ALL\PJ &amp; ME</t>
  </si>
  <si>
    <t>\@APPAREL FOR ALL\PLAYBOY</t>
  </si>
  <si>
    <t>\@APPAREL FOR ALL\POLAR</t>
  </si>
  <si>
    <t>\@APPAREL FOR ALL\POLER</t>
  </si>
  <si>
    <t>\@APPAREL FOR ALL\POLO</t>
  </si>
  <si>
    <t>\@APPAREL FOR ALL\POWER BALANCE</t>
  </si>
  <si>
    <t>\@APPAREL FOR ALL\POWER CLUB</t>
  </si>
  <si>
    <t>\@APPAREL FOR ALL\POWERSTEP</t>
  </si>
  <si>
    <t>\@APPAREL FOR ALL\PRANA</t>
  </si>
  <si>
    <t>\@APPAREL FOR ALL\PRESS BOX</t>
  </si>
  <si>
    <t>\@APPAREL FOR ALL\PRESTIGE</t>
  </si>
  <si>
    <t>\@APPAREL FOR ALL\PRIMITIVE</t>
  </si>
  <si>
    <t>\@APPAREL FOR ALL\PRO STANDARD</t>
  </si>
  <si>
    <t>\@APPAREL FOR ALL\PRO TEC</t>
  </si>
  <si>
    <t>\@APPAREL FOR ALL\PUBLISH</t>
  </si>
  <si>
    <t>\@APPAREL FOR ALL\PUMA</t>
  </si>
  <si>
    <t>\@APPAREL FOR ALL\QIQICHEN</t>
  </si>
  <si>
    <t>\@APPAREL FOR ALL\QUIRKY</t>
  </si>
  <si>
    <t>\@APPAREL FOR ALL\RANGE ROLLER</t>
  </si>
  <si>
    <t>\@APPAREL FOR ALL\RASCAL</t>
  </si>
  <si>
    <t>\@APPAREL FOR ALL\RASTACLAT</t>
  </si>
  <si>
    <t>\@APPAREL FOR ALL\RED WING</t>
  </si>
  <si>
    <t>\@APPAREL FOR ALL\REEBOK</t>
  </si>
  <si>
    <t>\@APPAREL FOR ALL\REPREVE</t>
  </si>
  <si>
    <t>\@APPAREL FOR ALL\RESE</t>
  </si>
  <si>
    <t>\@APPAREL FOR ALL\RETRO BRAND</t>
  </si>
  <si>
    <t>\@APPAREL FOR ALL\RHONE</t>
  </si>
  <si>
    <t>\@APPAREL FOR ALL\RICHER POORER</t>
  </si>
  <si>
    <t>\@APPAREL FOR ALL\ROLL RECOVERY</t>
  </si>
  <si>
    <t>\@APPAREL FOR ALL\ROTHCO</t>
  </si>
  <si>
    <t>\@APPAREL FOR ALL\ROXY</t>
  </si>
  <si>
    <t>\@APPAREL FOR ALL\RUE 21</t>
  </si>
  <si>
    <t>\@APPAREL FOR ALL\RUFFWEAR</t>
  </si>
  <si>
    <t>\@APPAREL FOR ALL\RUMBA</t>
  </si>
  <si>
    <t>\@APPAREL FOR ALL\RUMPL</t>
  </si>
  <si>
    <t>\@APPAREL FOR ALL\RUN COLORADO</t>
  </si>
  <si>
    <t>\@APPAREL FOR ALL\RUN PRETTY FAR</t>
  </si>
  <si>
    <t>\@APPAREL FOR ALL\RUSTY</t>
  </si>
  <si>
    <t>\@APPAREL FOR ALL\SALOMON</t>
  </si>
  <si>
    <t>\@APPAREL FOR ALL\SALUD</t>
  </si>
  <si>
    <t>\@APPAREL FOR ALL\SAUCONY</t>
  </si>
  <si>
    <t>\@APPAREL FOR ALL\SCARLET &amp; GREY</t>
  </si>
  <si>
    <t>\@APPAREL FOR ALL\SDNY</t>
  </si>
  <si>
    <t>\@APPAREL FOR ALL\SEAN JOHN</t>
  </si>
  <si>
    <t>\@APPAREL FOR ALL\SECRID</t>
  </si>
  <si>
    <t>\@APPAREL FOR ALL\SECTION</t>
  </si>
  <si>
    <t>\@APPAREL FOR ALL\SHAKTI</t>
  </si>
  <si>
    <t>\@APPAREL FOR ALL\SHERPANI</t>
  </si>
  <si>
    <t>\@APPAREL FOR ALL\SHOCKING GOAT</t>
  </si>
  <si>
    <t>\@APPAREL FOR ALL\SHWOOD</t>
  </si>
  <si>
    <t>\@APPAREL FOR ALL\SIKSILK</t>
  </si>
  <si>
    <t>\@APPAREL FOR ALL\SILVERLINING</t>
  </si>
  <si>
    <t>\@APPAREL FOR ALL\SKIRT SPORTS</t>
  </si>
  <si>
    <t>\@APPAREL FOR ALL\SKOOTZ</t>
  </si>
  <si>
    <t>\@APPAREL FOR ALL\SMARTWOOL</t>
  </si>
  <si>
    <t>\@APPAREL FOR ALL\SNEAKER BALLS</t>
  </si>
  <si>
    <t>\@APPAREL FOR ALL\SNEAKER LAB</t>
  </si>
  <si>
    <t>\@APPAREL FOR ALL\SOCK AND ACCESSORY BRANDS</t>
  </si>
  <si>
    <t>\@APPAREL FOR ALL\SOF SOLE</t>
  </si>
  <si>
    <t>\@APPAREL FOR ALL\SOLEUS RUNNING</t>
  </si>
  <si>
    <t>\@APPAREL FOR ALL\SOMETHING NAVY</t>
  </si>
  <si>
    <t>\@APPAREL FOR ALL\SONNETI</t>
  </si>
  <si>
    <t>\@APPAREL FOR ALL\SPANX</t>
  </si>
  <si>
    <t>\@APPAREL FOR ALL\SPARK</t>
  </si>
  <si>
    <t>\@APPAREL FOR ALL\SPIBELT</t>
  </si>
  <si>
    <t>\@APPAREL FOR ALL\SPIRA</t>
  </si>
  <si>
    <t>\@APPAREL FOR ALL\SPORTIQE APPAREL COMPANY</t>
  </si>
  <si>
    <t>\@APPAREL FOR ALL\SPRAYGROUND</t>
  </si>
  <si>
    <t>\@APPAREL FOR ALL\STADIUM ATHLETICS</t>
  </si>
  <si>
    <t>\@APPAREL FOR ALL\STANCE</t>
  </si>
  <si>
    <t>\@APPAREL FOR ALL\Starter</t>
  </si>
  <si>
    <t>\@APPAREL FOR ALL\STC</t>
  </si>
  <si>
    <t>\@APPAREL FOR ALL\STITCHES ATHLETIC GEAR</t>
  </si>
  <si>
    <t>\@APPAREL FOR ALL\STUDIO</t>
  </si>
  <si>
    <t>\@APPAREL FOR ALL\STUFFITTS</t>
  </si>
  <si>
    <t>\@APPAREL FOR ALL\STUSSY</t>
  </si>
  <si>
    <t>\@APPAREL FOR ALL\SUGOI</t>
  </si>
  <si>
    <t>\@APPAREL FOR ALL\SUPER</t>
  </si>
  <si>
    <t>\@APPAREL FOR ALL\SUPER DRY</t>
  </si>
  <si>
    <t>\@APPAREL FOR ALL\SUPERFEET</t>
  </si>
  <si>
    <t>\@APPAREL FOR ALL\SUPPLY DEMAND</t>
  </si>
  <si>
    <t>\@APPAREL FOR ALL\SWEATY BANDS</t>
  </si>
  <si>
    <t>\@APPAREL FOR ALL\SWIFTWICK</t>
  </si>
  <si>
    <t>\@APPAREL FOR ALL\SWISS GEAR</t>
  </si>
  <si>
    <t>\@APPAREL FOR ALL\TECH STRETCH</t>
  </si>
  <si>
    <t>\@APPAREL FOR ALL\THE HUNDREDS</t>
  </si>
  <si>
    <t>\@APPAREL FOR ALL\THE TIN BOX COMPANY</t>
  </si>
  <si>
    <t>\@APPAREL FOR ALL\THE VICTORY</t>
  </si>
  <si>
    <t>\@APPAREL FOR ALL\THORLOS</t>
  </si>
  <si>
    <t>\@APPAREL FOR ALL\TIFOSI</t>
  </si>
  <si>
    <t>\@APPAREL FOR ALL\TIMBERLAND</t>
  </si>
  <si>
    <t>\@APPAREL FOR ALL\TIMEX</t>
  </si>
  <si>
    <t>\@APPAREL FOR ALL\Tommy</t>
  </si>
  <si>
    <t>\@APPAREL FOR ALL\TOMMY HILFIGER</t>
  </si>
  <si>
    <t>\@APPAREL FOR ALL\TOMTOM</t>
  </si>
  <si>
    <t>\@APPAREL FOR ALL\TOP OF THE WORLD</t>
  </si>
  <si>
    <t>\@APPAREL FOR ALL\TOP SHELF</t>
  </si>
  <si>
    <t>\@APPAREL FOR ALL\TOW CAPS</t>
  </si>
  <si>
    <t>\@APPAREL FOR ALL\TULIS</t>
  </si>
  <si>
    <t>\@APPAREL FOR ALL\U2SKIN</t>
  </si>
  <si>
    <t>\@APPAREL FOR ALL\UGG</t>
  </si>
  <si>
    <t>\@APPAREL FOR ALL\ULTIMATE DIRECTION</t>
  </si>
  <si>
    <t>\@APPAREL FOR ALL\UNDEFEATED</t>
  </si>
  <si>
    <t>\@APPAREL FOR ALL\UNDER ARMOUR</t>
  </si>
  <si>
    <t>\@APPAREL FOR ALL\UNK NBA</t>
  </si>
  <si>
    <t>\@APPAREL FOR ALL\UPXNDR</t>
  </si>
  <si>
    <t>\@APPAREL FOR ALL\URBAN OUTFITTERS</t>
  </si>
  <si>
    <t>\@APPAREL FOR ALL\VANITY FAIR</t>
  </si>
  <si>
    <t>\@APPAREL FOR ALL\VANS</t>
  </si>
  <si>
    <t>\@APPAREL FOR ALL\VERSACE</t>
  </si>
  <si>
    <t>\@APPAREL FOR ALL\VIOTONIX</t>
  </si>
  <si>
    <t>\@APPAREL FOR ALL\WENGER</t>
  </si>
  <si>
    <t>\@APPAREL FOR ALL\WET SEAL</t>
  </si>
  <si>
    <t>\@APPAREL FOR ALL\WinCraft</t>
  </si>
  <si>
    <t>\@APPAREL FOR ALL\YAKTRAX</t>
  </si>
  <si>
    <t>\@APPAREL FOR ALL\YESNO</t>
  </si>
  <si>
    <t>\@APPAREL FOR ALL\YOUNG &amp; RECKLESS</t>
  </si>
  <si>
    <t>\@APPAREL FOR ALL\ZANEROBE</t>
  </si>
  <si>
    <t>\@APPAREL FOR ALL\ZARA</t>
  </si>
  <si>
    <t>\@APPAREL FOR ALL\ZCO JEANS</t>
  </si>
  <si>
    <t>\@APPAREL FOR ALL\ZENSAH</t>
  </si>
  <si>
    <t>\@APPAREL FOR ALL\ZEPHYR HEADWEAR</t>
  </si>
  <si>
    <t>\@APPAREL FOR ALL\ZERO G</t>
  </si>
  <si>
    <t>\@APPAREL FOR ALL\ZOOT</t>
  </si>
  <si>
    <t>GZ8486</t>
  </si>
  <si>
    <t>Adidas</t>
  </si>
  <si>
    <t>H00153</t>
  </si>
  <si>
    <t>H02574</t>
  </si>
  <si>
    <t>H03202</t>
  </si>
  <si>
    <t>H03266</t>
  </si>
  <si>
    <t>H03372</t>
  </si>
  <si>
    <t>H03912</t>
  </si>
  <si>
    <t>GZ1013</t>
  </si>
  <si>
    <t>DH9465001</t>
  </si>
  <si>
    <t>NIKE</t>
  </si>
  <si>
    <t>CD5472010</t>
  </si>
  <si>
    <t>BZ9815084</t>
  </si>
  <si>
    <t>CM20779009</t>
  </si>
  <si>
    <t>CHAMPION</t>
  </si>
  <si>
    <t>9A1773RK2</t>
  </si>
  <si>
    <t>TB0A2J32001</t>
  </si>
  <si>
    <t>TIMBERLAND</t>
  </si>
  <si>
    <t>9A0484G34</t>
  </si>
  <si>
    <t>DC4244630</t>
  </si>
  <si>
    <t>9A0172WR2</t>
  </si>
  <si>
    <t>DB0498010</t>
  </si>
  <si>
    <t>DC7343010</t>
  </si>
  <si>
    <t>BA6149810</t>
  </si>
  <si>
    <t>DB0490630</t>
  </si>
  <si>
    <t>DA7337010</t>
  </si>
  <si>
    <t>FY8154</t>
  </si>
  <si>
    <t>AP9971</t>
  </si>
  <si>
    <t>B37109</t>
  </si>
  <si>
    <t>Folder not found</t>
  </si>
  <si>
    <t>X:</t>
  </si>
  <si>
    <t>Exists in backup</t>
  </si>
  <si>
    <t>V:\MSS Manual POs\MSSADHSH09042022\ALL IMAGES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</si>
</sst>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rgb="FF000000"/>
      <name val="Goudy Old Style"/>
      <family val="1"/>
    </font>
    <font>
      <b/>
      <sz val="1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2" fillId="0" borderId="0" xfId="0" applyFont="1"/>
    <xf numFmtId="0" fontId="2" fillId="3" borderId="0" xfId="0" applyFon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4" borderId="0" xfId="0" applyFont="1" applyFill="1"/>
    <xf numFmtId="0" fontId="4" fillId="6" borderId="1" xfId="0" applyFont="1" applyFill="1" applyBorder="1" applyAlignment="1" applyProtection="1">
      <alignment horizontal="left" vertical="center"/>
    </xf>
    <xf numFmtId="49" fontId="4" fillId="6" borderId="2" xfId="0" applyNumberFormat="1" applyFont="1" applyFill="1" applyBorder="1" applyAlignment="1" applyProtection="1">
      <alignment horizontal="left" vertical="center"/>
    </xf>
    <xf numFmtId="0" fontId="0" fillId="5" borderId="1" xfId="0" applyFill="1" applyBorder="1"/>
    <xf numFmtId="0" fontId="0" fillId="7" borderId="1" xfId="0" applyFill="1" applyBorder="1"/>
    <xf numFmtId="0" fontId="4" fillId="8" borderId="3" xfId="0" applyFont="1" applyFill="1" applyBorder="1" applyAlignment="1" applyProtection="1">
      <alignment horizontal="left" vertical="center"/>
    </xf>
    <xf numFmtId="0" fontId="0" fillId="3" borderId="0" xfId="0" applyFill="1"/>
    <xf numFmtId="0" fontId="4" fillId="4" borderId="1" xfId="0" applyFont="1" applyFill="1" applyBorder="1" applyAlignment="1" applyProtection="1">
      <alignment horizontal="left" vertical="center"/>
    </xf>
    <xf numFmtId="0" fontId="0" fillId="9" borderId="1" xfId="0" applyFont="1" applyFill="1" applyBorder="1" applyAlignment="1" applyProtection="1">
      <alignment horizontal="left" vertical="center"/>
    </xf>
  </cellXfs>
  <cellStyles count="3">
    <cellStyle name="Comma 2" xfId="2" xr:uid="{7FC2B1F1-8C8D-46FD-94B4-04C3B30D5175}"/>
    <cellStyle name="Normal" xfId="0" builtinId="0"/>
    <cellStyle name="Normal 2" xfId="1" xr:uid="{09F1F841-ECE7-4103-8E74-9D2574877DC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66675</xdr:rowOff>
        </xdr:from>
        <xdr:to>
          <xdr:col>6</xdr:col>
          <xdr:colOff>1390650</xdr:colOff>
          <xdr:row>0</xdr:row>
          <xdr:rowOff>314325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Goudy Old Style"/>
                </a:rPr>
                <a:t>Howdy! * .~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66675</xdr:rowOff>
        </xdr:from>
        <xdr:to>
          <xdr:col>7</xdr:col>
          <xdr:colOff>1409700</xdr:colOff>
          <xdr:row>0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Goudy Old Style"/>
                </a:rPr>
                <a:t>Move Imgs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79AE1-0C3E-4810-9EE0-3511DC0E8777}">
  <sheetPr codeName="Sheet1">
    <tabColor theme="7" tint="0.59999389629810485"/>
  </sheetPr>
  <dimension ref="A1:G28"/>
  <sheetViews>
    <sheetView tabSelected="1" workbookViewId="0">
      <selection activeCell="C3" sqref="C3"/>
    </sheetView>
  </sheetViews>
  <sheetFormatPr defaultRowHeight="15" x14ac:dyDescent="0.25"/>
  <cols>
    <col min="1" max="1" width="31" style="5" customWidth="1"/>
    <col min="2" max="2" width="31" style="4" customWidth="1"/>
    <col min="3" max="6" width="31" customWidth="1"/>
    <col min="7" max="7" width="21.85546875" customWidth="1"/>
  </cols>
  <sheetData>
    <row r="1" spans="1:7" ht="30" customHeight="1" x14ac:dyDescent="0.25">
      <c r="A1" s="8" t="s">
        <v>1</v>
      </c>
      <c r="B1" s="7" t="s">
        <v>0</v>
      </c>
      <c r="C1" s="11" t="s">
        <v>2</v>
      </c>
      <c r="D1" s="11" t="s">
        <v>4</v>
      </c>
      <c r="E1" s="11" t="s">
        <v>3</v>
      </c>
      <c r="F1" s="11" t="s">
        <v>24</v>
      </c>
      <c r="G1" s="10"/>
    </row>
    <row r="2" spans="1:7" x14ac:dyDescent="0.25">
      <c r="A2" s="5" t="s">
        <v>829</v>
      </c>
      <c r="B2" s="4" t="s">
        <v>830</v>
      </c>
      <c r="C2" t="s">
        <v>860</v>
      </c>
    </row>
    <row r="3" spans="1:7" x14ac:dyDescent="0.25">
      <c r="A3" s="5" t="s">
        <v>831</v>
      </c>
      <c r="B3" s="4" t="s">
        <v>830</v>
      </c>
      <c r="C3" t="s">
        <v>860</v>
      </c>
    </row>
    <row r="4" spans="1:7" x14ac:dyDescent="0.25">
      <c r="A4" s="5" t="s">
        <v>832</v>
      </c>
      <c r="B4" s="4" t="s">
        <v>830</v>
      </c>
      <c r="C4" t="s">
        <v>860</v>
      </c>
    </row>
    <row r="5" spans="1:7" x14ac:dyDescent="0.25">
      <c r="A5" s="5" t="s">
        <v>833</v>
      </c>
      <c r="B5" s="4" t="s">
        <v>830</v>
      </c>
      <c r="C5" t="s">
        <v>860</v>
      </c>
    </row>
    <row r="6" spans="1:7" x14ac:dyDescent="0.25">
      <c r="A6" s="5" t="s">
        <v>833</v>
      </c>
      <c r="B6" s="4" t="s">
        <v>830</v>
      </c>
      <c r="C6" t="s">
        <v>860</v>
      </c>
    </row>
    <row r="7" spans="1:7" x14ac:dyDescent="0.25">
      <c r="A7" s="5" t="s">
        <v>833</v>
      </c>
      <c r="B7" s="4" t="s">
        <v>830</v>
      </c>
      <c r="C7" t="s">
        <v>860</v>
      </c>
    </row>
    <row r="8" spans="1:7" x14ac:dyDescent="0.25">
      <c r="A8" s="5" t="s">
        <v>834</v>
      </c>
      <c r="B8" s="4" t="s">
        <v>830</v>
      </c>
      <c r="C8" t="s">
        <v>860</v>
      </c>
    </row>
    <row r="9" spans="1:7" x14ac:dyDescent="0.25">
      <c r="A9" s="5" t="s">
        <v>835</v>
      </c>
      <c r="B9" s="4" t="s">
        <v>830</v>
      </c>
      <c r="C9" t="s">
        <v>860</v>
      </c>
    </row>
    <row r="10" spans="1:7" x14ac:dyDescent="0.25">
      <c r="A10" s="5" t="s">
        <v>836</v>
      </c>
      <c r="B10" s="4" t="s">
        <v>830</v>
      </c>
      <c r="C10" t="s">
        <v>860</v>
      </c>
    </row>
    <row r="11" spans="1:7" x14ac:dyDescent="0.25">
      <c r="A11" s="5" t="s">
        <v>837</v>
      </c>
      <c r="B11" s="4" t="s">
        <v>830</v>
      </c>
      <c r="C11" t="s">
        <v>860</v>
      </c>
    </row>
    <row r="12" spans="1:7" x14ac:dyDescent="0.25">
      <c r="A12" s="5" t="s">
        <v>838</v>
      </c>
      <c r="B12" s="4" t="s">
        <v>839</v>
      </c>
      <c r="C12" t="s">
        <v>860</v>
      </c>
      <c r="E12" t="s">
        <v>860</v>
      </c>
    </row>
    <row r="13" spans="1:7" x14ac:dyDescent="0.25">
      <c r="A13" s="5" t="s">
        <v>840</v>
      </c>
      <c r="B13" s="4" t="s">
        <v>839</v>
      </c>
      <c r="C13" t="s">
        <v>860</v>
      </c>
    </row>
    <row r="14" spans="1:7" x14ac:dyDescent="0.25">
      <c r="A14" s="5" t="s">
        <v>841</v>
      </c>
      <c r="B14" s="4" t="s">
        <v>839</v>
      </c>
      <c r="F14" t="s">
        <v>860</v>
      </c>
    </row>
    <row r="15" spans="1:7" x14ac:dyDescent="0.25">
      <c r="A15" s="5" t="s">
        <v>842</v>
      </c>
      <c r="B15" s="4" t="s">
        <v>843</v>
      </c>
      <c r="E15" t="s">
        <v>858</v>
      </c>
      <c r="F15" t="s">
        <v>860</v>
      </c>
    </row>
    <row r="16" spans="1:7" x14ac:dyDescent="0.25">
      <c r="A16" s="5" t="s">
        <v>844</v>
      </c>
      <c r="B16" s="4" t="s">
        <v>839</v>
      </c>
      <c r="F16" t="s">
        <v>860</v>
      </c>
    </row>
    <row r="17" spans="1:6" x14ac:dyDescent="0.25">
      <c r="A17" s="5" t="s">
        <v>845</v>
      </c>
      <c r="B17" s="4" t="s">
        <v>846</v>
      </c>
      <c r="D17" t="s">
        <v>858</v>
      </c>
      <c r="E17" t="s">
        <v>858</v>
      </c>
      <c r="F17" t="s">
        <v>860</v>
      </c>
    </row>
    <row r="18" spans="1:6" x14ac:dyDescent="0.25">
      <c r="A18" s="5" t="s">
        <v>847</v>
      </c>
      <c r="B18" s="4" t="s">
        <v>839</v>
      </c>
      <c r="F18" t="s">
        <v>860</v>
      </c>
    </row>
    <row r="19" spans="1:6" x14ac:dyDescent="0.25">
      <c r="A19" s="5" t="s">
        <v>848</v>
      </c>
      <c r="B19" s="4" t="s">
        <v>839</v>
      </c>
      <c r="F19" t="s">
        <v>860</v>
      </c>
    </row>
    <row r="20" spans="1:6" x14ac:dyDescent="0.25">
      <c r="A20" s="5" t="s">
        <v>849</v>
      </c>
      <c r="B20" s="4" t="s">
        <v>839</v>
      </c>
      <c r="F20" t="s">
        <v>860</v>
      </c>
    </row>
    <row r="21" spans="1:6" x14ac:dyDescent="0.25">
      <c r="A21" s="5" t="s">
        <v>850</v>
      </c>
      <c r="B21" s="4" t="s">
        <v>839</v>
      </c>
      <c r="F21" t="s">
        <v>860</v>
      </c>
    </row>
    <row r="22" spans="1:6" x14ac:dyDescent="0.25">
      <c r="A22" s="5" t="s">
        <v>851</v>
      </c>
      <c r="B22" s="4" t="s">
        <v>839</v>
      </c>
      <c r="F22" t="s">
        <v>860</v>
      </c>
    </row>
    <row r="23" spans="1:6" x14ac:dyDescent="0.25">
      <c r="A23" s="5" t="s">
        <v>852</v>
      </c>
      <c r="B23" s="4" t="s">
        <v>839</v>
      </c>
      <c r="F23" t="s">
        <v>860</v>
      </c>
    </row>
    <row r="24" spans="1:6" x14ac:dyDescent="0.25">
      <c r="A24" s="5" t="s">
        <v>853</v>
      </c>
      <c r="B24" s="4" t="s">
        <v>839</v>
      </c>
      <c r="F24" t="s">
        <v>860</v>
      </c>
    </row>
    <row r="25" spans="1:6" x14ac:dyDescent="0.25">
      <c r="A25" s="5" t="s">
        <v>854</v>
      </c>
      <c r="B25" s="4" t="s">
        <v>839</v>
      </c>
      <c r="F25" t="s">
        <v>860</v>
      </c>
    </row>
    <row r="26" spans="1:6" x14ac:dyDescent="0.25">
      <c r="A26" s="5" t="s">
        <v>855</v>
      </c>
      <c r="B26" s="4" t="s">
        <v>830</v>
      </c>
      <c r="C26" t="s">
        <v>860</v>
      </c>
    </row>
    <row r="27" spans="1:6" x14ac:dyDescent="0.25">
      <c r="A27" s="5" t="s">
        <v>856</v>
      </c>
      <c r="B27" s="4" t="s">
        <v>830</v>
      </c>
      <c r="C27" t="s">
        <v>860</v>
      </c>
    </row>
    <row r="28" spans="1:6" x14ac:dyDescent="0.25">
      <c r="A28" s="5" t="s">
        <v>857</v>
      </c>
      <c r="B28" s="4" t="s">
        <v>830</v>
      </c>
      <c r="C28" t="s">
        <v>860</v>
      </c>
    </row>
  </sheetData>
  <autoFilter ref="A1:G1" xr:uid="{F6C79AE1-0C3E-4810-9EE0-3511DC0E8777}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imageReport">
                <anchor moveWithCells="1" sizeWithCells="1">
                  <from>
                    <xdr:col>6</xdr:col>
                    <xdr:colOff>85725</xdr:colOff>
                    <xdr:row>0</xdr:row>
                    <xdr:rowOff>66675</xdr:rowOff>
                  </from>
                  <to>
                    <xdr:col>6</xdr:col>
                    <xdr:colOff>1390650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CE9D4-9A03-4029-B271-3B06C86F3B39}">
  <sheetPr codeName="Sheet4">
    <tabColor theme="5" tint="0.39997558519241921"/>
  </sheetPr>
  <dimension ref="A1:H28"/>
  <sheetViews>
    <sheetView workbookViewId="0">
      <selection activeCell="A2" sqref="A2"/>
    </sheetView>
  </sheetViews>
  <sheetFormatPr defaultColWidth="22.28515625" defaultRowHeight="15" x14ac:dyDescent="0.25"/>
  <cols>
    <col min="1" max="3" width="26" customWidth="1"/>
    <col min="4" max="4" width="11.42578125" customWidth="1"/>
    <col min="5" max="5" width="49.42578125" bestFit="1" customWidth="1"/>
    <col min="6" max="6" width="10.85546875" customWidth="1"/>
    <col min="7" max="7" width="74.5703125" customWidth="1"/>
  </cols>
  <sheetData>
    <row r="1" spans="1:8" ht="35.1" customHeight="1" x14ac:dyDescent="0.25">
      <c r="A1" s="8" t="s">
        <v>1</v>
      </c>
      <c r="B1" s="7" t="s">
        <v>0</v>
      </c>
      <c r="C1" s="14"/>
      <c r="D1" s="13" t="s">
        <v>27</v>
      </c>
      <c r="E1" s="14" t="s">
        <v>861</v>
      </c>
      <c r="F1" s="13" t="s">
        <v>26</v>
      </c>
      <c r="G1" s="14"/>
      <c r="H1" s="10"/>
    </row>
    <row r="2" spans="1:8" x14ac:dyDescent="0.25">
      <c r="A2" s="5" t="s">
        <v>829</v>
      </c>
      <c r="B2" s="4" t="s">
        <v>830</v>
      </c>
      <c r="C2" s="4"/>
    </row>
    <row r="3" spans="1:8" x14ac:dyDescent="0.25">
      <c r="A3" s="5" t="s">
        <v>831</v>
      </c>
      <c r="B3" s="4" t="s">
        <v>830</v>
      </c>
      <c r="C3" s="4"/>
    </row>
    <row r="4" spans="1:8" x14ac:dyDescent="0.25">
      <c r="A4" s="5" t="s">
        <v>832</v>
      </c>
      <c r="B4" s="4" t="s">
        <v>830</v>
      </c>
      <c r="C4" s="4"/>
    </row>
    <row r="5" spans="1:8" x14ac:dyDescent="0.25">
      <c r="A5" s="5" t="s">
        <v>833</v>
      </c>
      <c r="B5" s="4" t="s">
        <v>830</v>
      </c>
      <c r="C5" s="4"/>
    </row>
    <row r="6" spans="1:8" x14ac:dyDescent="0.25">
      <c r="A6" s="5" t="s">
        <v>833</v>
      </c>
      <c r="B6" s="4" t="s">
        <v>830</v>
      </c>
      <c r="C6" s="4"/>
    </row>
    <row r="7" spans="1:8" x14ac:dyDescent="0.25">
      <c r="A7" s="5" t="s">
        <v>833</v>
      </c>
      <c r="B7" s="4" t="s">
        <v>830</v>
      </c>
      <c r="C7" s="4"/>
    </row>
    <row r="8" spans="1:8" x14ac:dyDescent="0.25">
      <c r="A8" s="5" t="s">
        <v>834</v>
      </c>
      <c r="B8" s="4" t="s">
        <v>830</v>
      </c>
      <c r="C8" s="4"/>
    </row>
    <row r="9" spans="1:8" x14ac:dyDescent="0.25">
      <c r="A9" s="5" t="s">
        <v>835</v>
      </c>
      <c r="B9" s="4" t="s">
        <v>830</v>
      </c>
      <c r="C9" s="4"/>
    </row>
    <row r="10" spans="1:8" x14ac:dyDescent="0.25">
      <c r="A10" s="5" t="s">
        <v>836</v>
      </c>
      <c r="B10" s="4" t="s">
        <v>830</v>
      </c>
      <c r="C10" s="4"/>
    </row>
    <row r="11" spans="1:8" x14ac:dyDescent="0.25">
      <c r="A11" s="5" t="s">
        <v>837</v>
      </c>
      <c r="B11" s="4" t="s">
        <v>830</v>
      </c>
      <c r="C11" s="4"/>
    </row>
    <row r="12" spans="1:8" x14ac:dyDescent="0.25">
      <c r="A12" s="5" t="s">
        <v>838</v>
      </c>
      <c r="B12" s="4" t="s">
        <v>839</v>
      </c>
      <c r="C12" s="4"/>
    </row>
    <row r="13" spans="1:8" x14ac:dyDescent="0.25">
      <c r="A13" s="5" t="s">
        <v>840</v>
      </c>
      <c r="B13" s="4" t="s">
        <v>839</v>
      </c>
      <c r="C13" s="4"/>
    </row>
    <row r="14" spans="1:8" x14ac:dyDescent="0.25">
      <c r="A14" s="5" t="s">
        <v>841</v>
      </c>
      <c r="B14" s="4" t="s">
        <v>839</v>
      </c>
      <c r="C14" s="4"/>
    </row>
    <row r="15" spans="1:8" x14ac:dyDescent="0.25">
      <c r="A15" s="5" t="s">
        <v>842</v>
      </c>
      <c r="B15" s="4" t="s">
        <v>843</v>
      </c>
      <c r="C15" s="4"/>
    </row>
    <row r="16" spans="1:8" x14ac:dyDescent="0.25">
      <c r="A16" s="5" t="s">
        <v>844</v>
      </c>
      <c r="B16" s="4" t="s">
        <v>839</v>
      </c>
      <c r="C16" s="4"/>
    </row>
    <row r="17" spans="1:3" x14ac:dyDescent="0.25">
      <c r="A17" s="5" t="s">
        <v>845</v>
      </c>
      <c r="B17" s="4" t="s">
        <v>846</v>
      </c>
      <c r="C17" s="4"/>
    </row>
    <row r="18" spans="1:3" x14ac:dyDescent="0.25">
      <c r="A18" s="5" t="s">
        <v>847</v>
      </c>
      <c r="B18" s="4" t="s">
        <v>839</v>
      </c>
      <c r="C18" s="4"/>
    </row>
    <row r="19" spans="1:3" x14ac:dyDescent="0.25">
      <c r="A19" s="5" t="s">
        <v>848</v>
      </c>
      <c r="B19" s="4" t="s">
        <v>839</v>
      </c>
      <c r="C19" s="4"/>
    </row>
    <row r="20" spans="1:3" x14ac:dyDescent="0.25">
      <c r="A20" s="5" t="s">
        <v>849</v>
      </c>
      <c r="B20" s="4" t="s">
        <v>839</v>
      </c>
      <c r="C20" s="4"/>
    </row>
    <row r="21" spans="1:3" x14ac:dyDescent="0.25">
      <c r="A21" s="5" t="s">
        <v>850</v>
      </c>
      <c r="B21" s="4" t="s">
        <v>839</v>
      </c>
      <c r="C21" s="4"/>
    </row>
    <row r="22" spans="1:3" x14ac:dyDescent="0.25">
      <c r="A22" s="5" t="s">
        <v>851</v>
      </c>
      <c r="B22" s="4" t="s">
        <v>839</v>
      </c>
      <c r="C22" s="4"/>
    </row>
    <row r="23" spans="1:3" x14ac:dyDescent="0.25">
      <c r="A23" s="5" t="s">
        <v>852</v>
      </c>
      <c r="B23" s="4" t="s">
        <v>839</v>
      </c>
      <c r="C23" s="4"/>
    </row>
    <row r="24" spans="1:3" x14ac:dyDescent="0.25">
      <c r="A24" s="5" t="s">
        <v>853</v>
      </c>
      <c r="B24" s="4" t="s">
        <v>839</v>
      </c>
      <c r="C24" s="4"/>
    </row>
    <row r="25" spans="1:3" x14ac:dyDescent="0.25">
      <c r="A25" s="5" t="s">
        <v>854</v>
      </c>
      <c r="B25" s="4" t="s">
        <v>839</v>
      </c>
      <c r="C25" s="4"/>
    </row>
    <row r="26" spans="1:3" x14ac:dyDescent="0.25">
      <c r="A26" s="5" t="s">
        <v>855</v>
      </c>
      <c r="B26" s="4" t="s">
        <v>830</v>
      </c>
      <c r="C26" s="4"/>
    </row>
    <row r="27" spans="1:3" x14ac:dyDescent="0.25">
      <c r="A27" s="5" t="s">
        <v>856</v>
      </c>
      <c r="B27" s="4" t="s">
        <v>830</v>
      </c>
      <c r="C27" s="4"/>
    </row>
    <row r="28" spans="1:3" x14ac:dyDescent="0.25">
      <c r="A28" s="5" t="s">
        <v>857</v>
      </c>
      <c r="B28" s="4" t="s">
        <v>830</v>
      </c>
      <c r="C28" s="4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veImgs.moveImgs">
                <anchor moveWithCells="1" sizeWithCells="1">
                  <from>
                    <xdr:col>7</xdr:col>
                    <xdr:colOff>76200</xdr:colOff>
                    <xdr:row>0</xdr:row>
                    <xdr:rowOff>66675</xdr:rowOff>
                  </from>
                  <to>
                    <xdr:col>7</xdr:col>
                    <xdr:colOff>1409700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A19D7-58AE-411F-8F79-F0B69F18916A}">
  <sheetPr codeName="Sheet2">
    <tabColor theme="8" tint="0.59999389629810485"/>
  </sheetPr>
  <dimension ref="A1:V370"/>
  <sheetViews>
    <sheetView workbookViewId="0">
      <selection activeCell="D2" sqref="D2:D281"/>
    </sheetView>
  </sheetViews>
  <sheetFormatPr defaultRowHeight="15" x14ac:dyDescent="0.25"/>
  <cols>
    <col min="1" max="1" width="14.28515625" customWidth="1"/>
    <col min="2" max="2" width="10.42578125" customWidth="1"/>
    <col min="3" max="3" width="5.7109375" customWidth="1"/>
    <col min="4" max="4" width="17.5703125" customWidth="1"/>
    <col min="5" max="5" width="26.85546875" customWidth="1"/>
    <col min="6" max="6" width="25.28515625" customWidth="1"/>
    <col min="7" max="7" width="5.7109375" customWidth="1"/>
    <col min="8" max="8" width="18" customWidth="1"/>
    <col min="9" max="10" width="22.85546875" customWidth="1"/>
    <col min="11" max="11" width="5.7109375" customWidth="1"/>
    <col min="12" max="12" width="17.5703125" customWidth="1"/>
    <col min="13" max="13" width="22.85546875" customWidth="1"/>
    <col min="14" max="14" width="22.5703125" customWidth="1"/>
    <col min="15" max="15" width="5.7109375" customWidth="1"/>
    <col min="16" max="16" width="18.42578125" customWidth="1"/>
    <col min="17" max="17" width="24.28515625" customWidth="1"/>
    <col min="18" max="18" width="25.5703125" customWidth="1"/>
    <col min="20" max="20" width="24.42578125" customWidth="1"/>
    <col min="21" max="21" width="29.5703125" bestFit="1" customWidth="1"/>
    <col min="22" max="22" width="58" bestFit="1" customWidth="1"/>
  </cols>
  <sheetData>
    <row r="1" spans="1:22" s="2" customFormat="1" ht="25.5" customHeight="1" x14ac:dyDescent="0.3">
      <c r="A1" s="6" t="s">
        <v>18</v>
      </c>
      <c r="B1" s="3" t="s">
        <v>13</v>
      </c>
      <c r="D1" s="3" t="s">
        <v>7</v>
      </c>
      <c r="E1" s="3" t="s">
        <v>8</v>
      </c>
      <c r="F1" s="3" t="s">
        <v>14</v>
      </c>
      <c r="H1" s="3" t="s">
        <v>6</v>
      </c>
      <c r="I1" s="3" t="s">
        <v>5</v>
      </c>
      <c r="J1" s="3" t="s">
        <v>15</v>
      </c>
      <c r="L1" s="3" t="s">
        <v>9</v>
      </c>
      <c r="M1" s="3" t="s">
        <v>10</v>
      </c>
      <c r="N1" s="3" t="s">
        <v>17</v>
      </c>
      <c r="P1" s="3" t="s">
        <v>11</v>
      </c>
      <c r="Q1" s="3" t="s">
        <v>12</v>
      </c>
      <c r="R1" s="3" t="s">
        <v>16</v>
      </c>
      <c r="T1" s="3" t="s">
        <v>20</v>
      </c>
      <c r="U1" s="3" t="s">
        <v>21</v>
      </c>
      <c r="V1" s="3" t="s">
        <v>22</v>
      </c>
    </row>
    <row r="2" spans="1:22" x14ac:dyDescent="0.25">
      <c r="A2" s="9" t="s">
        <v>3</v>
      </c>
      <c r="B2" s="1" t="str">
        <f>A9</f>
        <v>X:</v>
      </c>
      <c r="D2" s="1" t="str">
        <f>SUBSTITUTE(E2,B2 &amp; "\RUM's\","")</f>
        <v>361 DEGREES</v>
      </c>
      <c r="E2" s="1" t="str">
        <f t="shared" ref="E2:E65" si="0">CONCATENATE(B2,F2)</f>
        <v>X:\RUM's\361 DEGREES</v>
      </c>
      <c r="F2" s="12" t="s">
        <v>28</v>
      </c>
      <c r="H2" s="1" t="str">
        <f>SUBSTITUTE(I2,B2 &amp; "\AB\","")</f>
        <v>ADIDAS</v>
      </c>
      <c r="I2" s="1" t="str">
        <f t="shared" ref="I2:I33" si="1">CONCATENATE(B2,J2)</f>
        <v>X:\AB\ADIDAS</v>
      </c>
      <c r="J2" s="12" t="s">
        <v>308</v>
      </c>
      <c r="L2" s="1" t="str">
        <f>SUBSTITUTE(M2,B2 &amp; "\SCK\","")</f>
        <v>@BOXES</v>
      </c>
      <c r="M2" s="1" t="str">
        <f t="shared" ref="M2:M49" si="2">CONCATENATE(B2,N2)</f>
        <v>X:\SCK\@BOXES</v>
      </c>
      <c r="N2" s="12" t="s">
        <v>384</v>
      </c>
      <c r="P2" s="1" t="str">
        <f>SUBSTITUTE(Q2,B2 &amp; "\ATTIC\","")</f>
        <v>@@CurrentPO</v>
      </c>
      <c r="Q2" s="1" t="str">
        <f t="shared" ref="Q2:Q29" si="3">CONCATENATE(B2,R2)</f>
        <v>X:\ATTIC\@@CurrentPO</v>
      </c>
      <c r="R2" s="12" t="s">
        <v>432</v>
      </c>
      <c r="T2" s="1" t="str">
        <f>SUBSTITUTE(U2,B2 &amp; "\@APPAREL FOR ALL\","")</f>
        <v>@@MISSING RF APPAREL</v>
      </c>
      <c r="U2" s="1" t="str">
        <f>CONCATENATE(B2,V2)</f>
        <v>X:\@APPAREL FOR ALL\@@MISSING RF APPAREL</v>
      </c>
      <c r="V2" s="12" t="s">
        <v>460</v>
      </c>
    </row>
    <row r="3" spans="1:22" x14ac:dyDescent="0.25">
      <c r="A3" s="9" t="s">
        <v>4</v>
      </c>
      <c r="B3" s="1" t="str">
        <f>A9</f>
        <v>X:</v>
      </c>
      <c r="D3" s="1" t="str">
        <f t="shared" ref="D3:D66" si="4">SUBSTITUTE(E3,B3 &amp; "\RUM's\","")</f>
        <v>ADIDAS</v>
      </c>
      <c r="E3" s="1" t="str">
        <f t="shared" si="0"/>
        <v>X:\RUM's\ADIDAS</v>
      </c>
      <c r="F3" s="12" t="s">
        <v>29</v>
      </c>
      <c r="H3" s="1" t="str">
        <f t="shared" ref="H3:H66" si="5">SUBSTITUTE(I3,B3 &amp; "\AB\","")</f>
        <v>ALTRA</v>
      </c>
      <c r="I3" s="1" t="str">
        <f t="shared" si="1"/>
        <v>X:\AB\ALTRA</v>
      </c>
      <c r="J3" s="12" t="s">
        <v>309</v>
      </c>
      <c r="L3" s="1" t="str">
        <f t="shared" ref="L3:L49" si="6">SUBSTITUTE(M3,B3 &amp; "\SCK\","")</f>
        <v>@testing</v>
      </c>
      <c r="M3" s="1" t="str">
        <f t="shared" si="2"/>
        <v>X:\SCK\@testing</v>
      </c>
      <c r="N3" s="12" t="s">
        <v>385</v>
      </c>
      <c r="P3" s="1" t="str">
        <f t="shared" ref="P3:P29" si="7">SUBSTITUTE(Q3,B3 &amp; "\ATTIC\","")</f>
        <v>@@README</v>
      </c>
      <c r="Q3" s="1" t="str">
        <f t="shared" si="3"/>
        <v>X:\ATTIC\@@README</v>
      </c>
      <c r="R3" s="12" t="s">
        <v>433</v>
      </c>
      <c r="T3" s="1" t="str">
        <f t="shared" ref="T3:T66" si="8">SUBSTITUTE(U3,B3 &amp; "\@APPAREL FOR ALL\","")</f>
        <v>@@READ ME</v>
      </c>
      <c r="U3" s="1" t="str">
        <f t="shared" ref="U3:U66" si="9">CONCATENATE(B3,V3)</f>
        <v>X:\@APPAREL FOR ALL\@@READ ME</v>
      </c>
      <c r="V3" s="12" t="s">
        <v>461</v>
      </c>
    </row>
    <row r="4" spans="1:22" x14ac:dyDescent="0.25">
      <c r="A4" s="9" t="s">
        <v>2</v>
      </c>
      <c r="B4" s="1" t="str">
        <f>A9</f>
        <v>X:</v>
      </c>
      <c r="D4" s="1" t="str">
        <f t="shared" si="4"/>
        <v>ADIO</v>
      </c>
      <c r="E4" s="1" t="str">
        <f t="shared" si="0"/>
        <v>X:\RUM's\ADIO</v>
      </c>
      <c r="F4" s="12" t="s">
        <v>30</v>
      </c>
      <c r="H4" s="1" t="str">
        <f t="shared" si="5"/>
        <v>ASICS</v>
      </c>
      <c r="I4" s="1" t="str">
        <f t="shared" si="1"/>
        <v>X:\AB\ASICS</v>
      </c>
      <c r="J4" s="12" t="s">
        <v>310</v>
      </c>
      <c r="L4" s="1" t="str">
        <f t="shared" si="6"/>
        <v>361 DEGREES</v>
      </c>
      <c r="M4" s="1" t="str">
        <f t="shared" si="2"/>
        <v>X:\SCK\361 DEGREES</v>
      </c>
      <c r="N4" s="12" t="s">
        <v>386</v>
      </c>
      <c r="P4" s="1" t="str">
        <f t="shared" si="7"/>
        <v>ADIDAS</v>
      </c>
      <c r="Q4" s="1" t="str">
        <f t="shared" si="3"/>
        <v>X:\ATTIC\ADIDAS</v>
      </c>
      <c r="R4" s="12" t="s">
        <v>434</v>
      </c>
      <c r="T4" s="1" t="str">
        <f t="shared" si="8"/>
        <v>@CONVERSE</v>
      </c>
      <c r="U4" s="1" t="str">
        <f t="shared" si="9"/>
        <v>X:\@APPAREL FOR ALL\@CONVERSE</v>
      </c>
      <c r="V4" s="12" t="s">
        <v>462</v>
      </c>
    </row>
    <row r="5" spans="1:22" x14ac:dyDescent="0.25">
      <c r="A5" s="9" t="s">
        <v>19</v>
      </c>
      <c r="B5" s="1" t="str">
        <f>A9</f>
        <v>X:</v>
      </c>
      <c r="D5" s="1" t="str">
        <f t="shared" si="4"/>
        <v>AEROSOLES</v>
      </c>
      <c r="E5" s="1" t="str">
        <f t="shared" si="0"/>
        <v>X:\RUM's\AEROSOLES</v>
      </c>
      <c r="F5" s="12" t="s">
        <v>31</v>
      </c>
      <c r="H5" s="1" t="str">
        <f t="shared" si="5"/>
        <v>ATHLETIC PROPULSION LABS</v>
      </c>
      <c r="I5" s="1" t="str">
        <f t="shared" si="1"/>
        <v>X:\AB\ATHLETIC PROPULSION LABS</v>
      </c>
      <c r="J5" s="12" t="s">
        <v>311</v>
      </c>
      <c r="L5" s="1" t="str">
        <f t="shared" si="6"/>
        <v>ADIDAS</v>
      </c>
      <c r="M5" s="1" t="str">
        <f t="shared" si="2"/>
        <v>X:\SCK\ADIDAS</v>
      </c>
      <c r="N5" s="12" t="s">
        <v>387</v>
      </c>
      <c r="P5" s="1" t="str">
        <f t="shared" si="7"/>
        <v>ALTRA</v>
      </c>
      <c r="Q5" s="1" t="str">
        <f t="shared" si="3"/>
        <v>X:\ATTIC\ALTRA</v>
      </c>
      <c r="R5" s="12" t="s">
        <v>435</v>
      </c>
      <c r="T5" s="1" t="str">
        <f t="shared" si="8"/>
        <v>@MISC BRANDS STOCK IMAGES</v>
      </c>
      <c r="U5" s="1" t="str">
        <f t="shared" si="9"/>
        <v>X:\@APPAREL FOR ALL\@MISC BRANDS STOCK IMAGES</v>
      </c>
      <c r="V5" s="12" t="s">
        <v>463</v>
      </c>
    </row>
    <row r="6" spans="1:22" x14ac:dyDescent="0.25">
      <c r="A6" s="9" t="s">
        <v>23</v>
      </c>
      <c r="B6" s="1" t="str">
        <f>A9</f>
        <v>X:</v>
      </c>
      <c r="D6" s="1" t="str">
        <f t="shared" si="4"/>
        <v>AGGRESSOR</v>
      </c>
      <c r="E6" s="1" t="str">
        <f t="shared" si="0"/>
        <v>X:\RUM's\AGGRESSOR</v>
      </c>
      <c r="F6" s="12" t="s">
        <v>32</v>
      </c>
      <c r="H6" s="1" t="str">
        <f t="shared" si="5"/>
        <v>AVIA</v>
      </c>
      <c r="I6" s="1" t="str">
        <f t="shared" si="1"/>
        <v>X:\AB\AVIA</v>
      </c>
      <c r="J6" s="12" t="s">
        <v>312</v>
      </c>
      <c r="L6" s="1" t="str">
        <f t="shared" si="6"/>
        <v>ALTRA</v>
      </c>
      <c r="M6" s="1" t="str">
        <f t="shared" si="2"/>
        <v>X:\SCK\ALTRA</v>
      </c>
      <c r="N6" s="12" t="s">
        <v>388</v>
      </c>
      <c r="P6" s="1" t="str">
        <f t="shared" si="7"/>
        <v>ASICS</v>
      </c>
      <c r="Q6" s="1" t="str">
        <f t="shared" si="3"/>
        <v>X:\ATTIC\ASICS</v>
      </c>
      <c r="R6" s="12" t="s">
        <v>436</v>
      </c>
      <c r="T6" s="1" t="str">
        <f t="shared" si="8"/>
        <v>2TOMS</v>
      </c>
      <c r="U6" s="1" t="str">
        <f t="shared" si="9"/>
        <v>X:\@APPAREL FOR ALL\2TOMS</v>
      </c>
      <c r="V6" s="12" t="s">
        <v>464</v>
      </c>
    </row>
    <row r="7" spans="1:22" x14ac:dyDescent="0.25">
      <c r="B7" s="1" t="str">
        <f>A9</f>
        <v>X:</v>
      </c>
      <c r="D7" s="1" t="str">
        <f t="shared" si="4"/>
        <v>AIRWALK</v>
      </c>
      <c r="E7" s="1" t="str">
        <f t="shared" si="0"/>
        <v>X:\RUM's\AIRWALK</v>
      </c>
      <c r="F7" s="12" t="s">
        <v>33</v>
      </c>
      <c r="H7" s="1" t="str">
        <f t="shared" si="5"/>
        <v>BEARPAW</v>
      </c>
      <c r="I7" s="1" t="str">
        <f t="shared" si="1"/>
        <v>X:\AB\BEARPAW</v>
      </c>
      <c r="J7" s="12" t="s">
        <v>313</v>
      </c>
      <c r="L7" s="1" t="str">
        <f t="shared" si="6"/>
        <v>ASICS</v>
      </c>
      <c r="M7" s="1" t="str">
        <f t="shared" si="2"/>
        <v>X:\SCK\ASICS</v>
      </c>
      <c r="N7" s="12" t="s">
        <v>389</v>
      </c>
      <c r="P7" s="1" t="str">
        <f t="shared" si="7"/>
        <v>BIRKENSTOCK</v>
      </c>
      <c r="Q7" s="1" t="str">
        <f t="shared" si="3"/>
        <v>X:\ATTIC\BIRKENSTOCK</v>
      </c>
      <c r="R7" s="12" t="s">
        <v>437</v>
      </c>
      <c r="T7" s="1" t="str">
        <f t="shared" si="8"/>
        <v>2XU</v>
      </c>
      <c r="U7" s="1" t="str">
        <f t="shared" si="9"/>
        <v>X:\@APPAREL FOR ALL\2XU</v>
      </c>
      <c r="V7" s="12" t="s">
        <v>465</v>
      </c>
    </row>
    <row r="8" spans="1:22" ht="18.75" x14ac:dyDescent="0.3">
      <c r="A8" s="6" t="s">
        <v>25</v>
      </c>
      <c r="B8" s="1" t="str">
        <f>A9</f>
        <v>X:</v>
      </c>
      <c r="D8" s="1" t="str">
        <f t="shared" si="4"/>
        <v>ALDO</v>
      </c>
      <c r="E8" s="1" t="str">
        <f t="shared" si="0"/>
        <v>X:\RUM's\ALDO</v>
      </c>
      <c r="F8" s="12" t="s">
        <v>34</v>
      </c>
      <c r="H8" s="1" t="str">
        <f t="shared" si="5"/>
        <v>BIRKENSTOCK</v>
      </c>
      <c r="I8" s="1" t="str">
        <f t="shared" si="1"/>
        <v>X:\AB\BIRKENSTOCK</v>
      </c>
      <c r="J8" s="12" t="s">
        <v>314</v>
      </c>
      <c r="L8" s="1" t="str">
        <f t="shared" si="6"/>
        <v>BIRKENSTOCK</v>
      </c>
      <c r="M8" s="1" t="str">
        <f t="shared" si="2"/>
        <v>X:\SCK\BIRKENSTOCK</v>
      </c>
      <c r="N8" s="12" t="s">
        <v>390</v>
      </c>
      <c r="P8" s="1" t="str">
        <f t="shared" si="7"/>
        <v>BLUNDSTONE</v>
      </c>
      <c r="Q8" s="1" t="str">
        <f t="shared" si="3"/>
        <v>X:\ATTIC\BLUNDSTONE</v>
      </c>
      <c r="R8" s="12" t="s">
        <v>438</v>
      </c>
      <c r="T8" s="1" t="str">
        <f t="shared" si="8"/>
        <v>4TH AND 1</v>
      </c>
      <c r="U8" s="1" t="str">
        <f t="shared" si="9"/>
        <v>X:\@APPAREL FOR ALL\4TH AND 1</v>
      </c>
      <c r="V8" s="12" t="s">
        <v>466</v>
      </c>
    </row>
    <row r="9" spans="1:22" x14ac:dyDescent="0.25">
      <c r="A9" s="9" t="s">
        <v>859</v>
      </c>
      <c r="B9" s="1" t="str">
        <f>A9</f>
        <v>X:</v>
      </c>
      <c r="D9" s="1" t="str">
        <f t="shared" si="4"/>
        <v>ALEADER</v>
      </c>
      <c r="E9" s="1" t="str">
        <f t="shared" si="0"/>
        <v>X:\RUM's\ALEADER</v>
      </c>
      <c r="F9" s="12" t="s">
        <v>35</v>
      </c>
      <c r="H9" s="1" t="str">
        <f t="shared" si="5"/>
        <v>BLUNDSTONE</v>
      </c>
      <c r="I9" s="1" t="str">
        <f t="shared" si="1"/>
        <v>X:\AB\BLUNDSTONE</v>
      </c>
      <c r="J9" s="12" t="s">
        <v>315</v>
      </c>
      <c r="L9" s="1" t="str">
        <f t="shared" si="6"/>
        <v>BLUNDSTONE</v>
      </c>
      <c r="M9" s="1" t="str">
        <f t="shared" si="2"/>
        <v>X:\SCK\BLUNDSTONE</v>
      </c>
      <c r="N9" s="12" t="s">
        <v>391</v>
      </c>
      <c r="P9" s="1" t="str">
        <f t="shared" si="7"/>
        <v>COLE HAAN</v>
      </c>
      <c r="Q9" s="1" t="str">
        <f t="shared" si="3"/>
        <v>X:\ATTIC\COLE HAAN</v>
      </c>
      <c r="R9" s="12" t="s">
        <v>439</v>
      </c>
      <c r="T9" s="1" t="str">
        <f t="shared" si="8"/>
        <v>5TH &amp; OCEAN</v>
      </c>
      <c r="U9" s="1" t="str">
        <f t="shared" si="9"/>
        <v>X:\@APPAREL FOR ALL\5TH &amp; OCEAN</v>
      </c>
      <c r="V9" s="12" t="s">
        <v>467</v>
      </c>
    </row>
    <row r="10" spans="1:22" x14ac:dyDescent="0.25">
      <c r="B10" s="1" t="str">
        <f>A9</f>
        <v>X:</v>
      </c>
      <c r="D10" s="1" t="str">
        <f t="shared" si="4"/>
        <v>ALEGRIA</v>
      </c>
      <c r="E10" s="1" t="str">
        <f t="shared" si="0"/>
        <v>X:\RUM's\ALEGRIA</v>
      </c>
      <c r="F10" s="12" t="s">
        <v>36</v>
      </c>
      <c r="H10" s="1" t="str">
        <f t="shared" si="5"/>
        <v>BROOKS</v>
      </c>
      <c r="I10" s="1" t="str">
        <f t="shared" si="1"/>
        <v>X:\AB\BROOKS</v>
      </c>
      <c r="J10" s="12" t="s">
        <v>316</v>
      </c>
      <c r="L10" s="1" t="str">
        <f t="shared" si="6"/>
        <v>BORN</v>
      </c>
      <c r="M10" s="1" t="str">
        <f t="shared" si="2"/>
        <v>X:\SCK\BORN</v>
      </c>
      <c r="N10" s="12" t="s">
        <v>392</v>
      </c>
      <c r="P10" s="1" t="str">
        <f t="shared" si="7"/>
        <v>CONVERSE</v>
      </c>
      <c r="Q10" s="1" t="str">
        <f t="shared" si="3"/>
        <v>X:\ATTIC\CONVERSE</v>
      </c>
      <c r="R10" s="12" t="s">
        <v>440</v>
      </c>
      <c r="T10" s="1" t="str">
        <f t="shared" si="8"/>
        <v>9FIVE</v>
      </c>
      <c r="U10" s="1" t="str">
        <f t="shared" si="9"/>
        <v>X:\@APPAREL FOR ALL\9FIVE</v>
      </c>
      <c r="V10" s="12" t="s">
        <v>468</v>
      </c>
    </row>
    <row r="11" spans="1:22" x14ac:dyDescent="0.25">
      <c r="B11" s="1" t="str">
        <f>A9</f>
        <v>X:</v>
      </c>
      <c r="D11" s="1" t="str">
        <f t="shared" si="4"/>
        <v>ALTRA</v>
      </c>
      <c r="E11" s="1" t="str">
        <f t="shared" si="0"/>
        <v>X:\RUM's\ALTRA</v>
      </c>
      <c r="F11" s="12" t="s">
        <v>37</v>
      </c>
      <c r="H11" s="1" t="str">
        <f t="shared" si="5"/>
        <v>BROWNING</v>
      </c>
      <c r="I11" s="1" t="str">
        <f t="shared" si="1"/>
        <v>X:\AB\BROWNING</v>
      </c>
      <c r="J11" s="12" t="s">
        <v>317</v>
      </c>
      <c r="L11" s="1" t="str">
        <f t="shared" si="6"/>
        <v>CHAMPION</v>
      </c>
      <c r="M11" s="1" t="str">
        <f t="shared" si="2"/>
        <v>X:\SCK\CHAMPION</v>
      </c>
      <c r="N11" s="12" t="s">
        <v>393</v>
      </c>
      <c r="P11" s="1" t="str">
        <f t="shared" si="7"/>
        <v>DR MARTENS</v>
      </c>
      <c r="Q11" s="1" t="str">
        <f t="shared" si="3"/>
        <v>X:\ATTIC\DR MARTENS</v>
      </c>
      <c r="R11" s="12" t="s">
        <v>441</v>
      </c>
      <c r="T11" s="1" t="str">
        <f t="shared" si="8"/>
        <v>10 DEEP</v>
      </c>
      <c r="U11" s="1" t="str">
        <f t="shared" si="9"/>
        <v>X:\@APPAREL FOR ALL\10 DEEP</v>
      </c>
      <c r="V11" s="12" t="s">
        <v>469</v>
      </c>
    </row>
    <row r="12" spans="1:22" x14ac:dyDescent="0.25">
      <c r="B12" s="1" t="str">
        <f>A9</f>
        <v>X:</v>
      </c>
      <c r="D12" s="1" t="str">
        <f t="shared" si="4"/>
        <v>AND1</v>
      </c>
      <c r="E12" s="1" t="str">
        <f t="shared" si="0"/>
        <v>X:\RUM's\AND1</v>
      </c>
      <c r="F12" s="12" t="s">
        <v>38</v>
      </c>
      <c r="H12" s="1" t="str">
        <f t="shared" si="5"/>
        <v>CARTERS</v>
      </c>
      <c r="I12" s="1" t="str">
        <f t="shared" si="1"/>
        <v>X:\AB\CARTERS</v>
      </c>
      <c r="J12" s="12" t="s">
        <v>318</v>
      </c>
      <c r="L12" s="1" t="str">
        <f t="shared" si="6"/>
        <v>CONVERSE</v>
      </c>
      <c r="M12" s="1" t="str">
        <f t="shared" si="2"/>
        <v>X:\SCK\CONVERSE</v>
      </c>
      <c r="N12" s="12" t="s">
        <v>394</v>
      </c>
      <c r="P12" s="1" t="str">
        <f t="shared" si="7"/>
        <v>HUNTER</v>
      </c>
      <c r="Q12" s="1" t="str">
        <f t="shared" si="3"/>
        <v>X:\ATTIC\HUNTER</v>
      </c>
      <c r="R12" s="12" t="s">
        <v>442</v>
      </c>
      <c r="T12" s="1" t="str">
        <f t="shared" si="8"/>
        <v>47 BRAND</v>
      </c>
      <c r="U12" s="1" t="str">
        <f t="shared" si="9"/>
        <v>X:\@APPAREL FOR ALL\47 BRAND</v>
      </c>
      <c r="V12" s="12" t="s">
        <v>470</v>
      </c>
    </row>
    <row r="13" spans="1:22" x14ac:dyDescent="0.25">
      <c r="B13" s="1" t="str">
        <f>A9</f>
        <v>X:</v>
      </c>
      <c r="D13" s="1" t="str">
        <f t="shared" si="4"/>
        <v>ARAVON</v>
      </c>
      <c r="E13" s="1" t="str">
        <f t="shared" si="0"/>
        <v>X:\RUM's\ARAVON</v>
      </c>
      <c r="F13" s="12" t="s">
        <v>39</v>
      </c>
      <c r="H13" s="1" t="str">
        <f t="shared" si="5"/>
        <v>COLE HAAN</v>
      </c>
      <c r="I13" s="1" t="str">
        <f t="shared" si="1"/>
        <v>X:\AB\COLE HAAN</v>
      </c>
      <c r="J13" s="12" t="s">
        <v>319</v>
      </c>
      <c r="L13" s="1" t="str">
        <f t="shared" si="6"/>
        <v>DANNERS</v>
      </c>
      <c r="M13" s="1" t="str">
        <f t="shared" si="2"/>
        <v>X:\SCK\DANNERS</v>
      </c>
      <c r="N13" s="12" t="s">
        <v>395</v>
      </c>
      <c r="P13" s="1" t="str">
        <f t="shared" si="7"/>
        <v>LA SPORTIVA</v>
      </c>
      <c r="Q13" s="1" t="str">
        <f t="shared" si="3"/>
        <v>X:\ATTIC\LA SPORTIVA</v>
      </c>
      <c r="R13" s="12" t="s">
        <v>443</v>
      </c>
      <c r="T13" s="1" t="str">
        <f t="shared" si="8"/>
        <v>77 CITY</v>
      </c>
      <c r="U13" s="1" t="str">
        <f t="shared" si="9"/>
        <v>X:\@APPAREL FOR ALL\77 CITY</v>
      </c>
      <c r="V13" s="12" t="s">
        <v>471</v>
      </c>
    </row>
    <row r="14" spans="1:22" x14ac:dyDescent="0.25">
      <c r="B14" s="1" t="str">
        <f>A9</f>
        <v>X:</v>
      </c>
      <c r="D14" s="1" t="str">
        <f t="shared" si="4"/>
        <v>ARMANI</v>
      </c>
      <c r="E14" s="1" t="str">
        <f t="shared" si="0"/>
        <v>X:\RUM's\ARMANI</v>
      </c>
      <c r="F14" s="12" t="s">
        <v>40</v>
      </c>
      <c r="H14" s="1" t="str">
        <f t="shared" si="5"/>
        <v>COLUMBIA</v>
      </c>
      <c r="I14" s="1" t="str">
        <f t="shared" si="1"/>
        <v>X:\AB\COLUMBIA</v>
      </c>
      <c r="J14" s="12" t="s">
        <v>320</v>
      </c>
      <c r="L14" s="1" t="str">
        <f t="shared" si="6"/>
        <v>DC</v>
      </c>
      <c r="M14" s="1" t="str">
        <f t="shared" si="2"/>
        <v>X:\SCK\DC</v>
      </c>
      <c r="N14" s="12" t="s">
        <v>396</v>
      </c>
      <c r="P14" s="1" t="str">
        <f t="shared" si="7"/>
        <v>NEW BALANCE</v>
      </c>
      <c r="Q14" s="1" t="str">
        <f t="shared" si="3"/>
        <v>X:\ATTIC\NEW BALANCE</v>
      </c>
      <c r="R14" s="12" t="s">
        <v>444</v>
      </c>
      <c r="T14" s="1" t="str">
        <f t="shared" si="8"/>
        <v>110%</v>
      </c>
      <c r="U14" s="1" t="str">
        <f t="shared" si="9"/>
        <v>X:\@APPAREL FOR ALL\110%</v>
      </c>
      <c r="V14" s="12" t="s">
        <v>472</v>
      </c>
    </row>
    <row r="15" spans="1:22" x14ac:dyDescent="0.25">
      <c r="B15" s="1" t="str">
        <f>A9</f>
        <v>X:</v>
      </c>
      <c r="D15" s="1" t="str">
        <f t="shared" si="4"/>
        <v>ARTURO CHIANG</v>
      </c>
      <c r="E15" s="1" t="str">
        <f t="shared" si="0"/>
        <v>X:\RUM's\ARTURO CHIANG</v>
      </c>
      <c r="F15" s="12" t="s">
        <v>41</v>
      </c>
      <c r="H15" s="1" t="str">
        <f t="shared" si="5"/>
        <v>CONVERSE</v>
      </c>
      <c r="I15" s="1" t="str">
        <f t="shared" si="1"/>
        <v>X:\AB\CONVERSE</v>
      </c>
      <c r="J15" s="12" t="s">
        <v>321</v>
      </c>
      <c r="L15" s="1" t="str">
        <f t="shared" si="6"/>
        <v>DR. MARTENS</v>
      </c>
      <c r="M15" s="1" t="str">
        <f t="shared" si="2"/>
        <v>X:\SCK\DR. MARTENS</v>
      </c>
      <c r="N15" s="12" t="s">
        <v>397</v>
      </c>
      <c r="P15" s="1" t="str">
        <f t="shared" si="7"/>
        <v>ON</v>
      </c>
      <c r="Q15" s="1" t="str">
        <f t="shared" si="3"/>
        <v>X:\ATTIC\ON</v>
      </c>
      <c r="R15" s="12" t="s">
        <v>445</v>
      </c>
      <c r="T15" s="1" t="str">
        <f t="shared" si="8"/>
        <v>289C APPAREL</v>
      </c>
      <c r="U15" s="1" t="str">
        <f t="shared" si="9"/>
        <v>X:\@APPAREL FOR ALL\289C APPAREL</v>
      </c>
      <c r="V15" s="12" t="s">
        <v>473</v>
      </c>
    </row>
    <row r="16" spans="1:22" x14ac:dyDescent="0.25">
      <c r="B16" s="1" t="str">
        <f>A9</f>
        <v>X:</v>
      </c>
      <c r="D16" s="1" t="str">
        <f t="shared" si="4"/>
        <v>ASFL</v>
      </c>
      <c r="E16" s="1" t="str">
        <f t="shared" si="0"/>
        <v>X:\RUM's\ASFL</v>
      </c>
      <c r="F16" s="12" t="s">
        <v>42</v>
      </c>
      <c r="H16" s="1" t="str">
        <f t="shared" si="5"/>
        <v>CREATIVE REC</v>
      </c>
      <c r="I16" s="1" t="str">
        <f t="shared" si="1"/>
        <v>X:\AB\CREATIVE REC</v>
      </c>
      <c r="J16" s="12" t="s">
        <v>322</v>
      </c>
      <c r="L16" s="1" t="str">
        <f t="shared" si="6"/>
        <v>DVS</v>
      </c>
      <c r="M16" s="1" t="str">
        <f t="shared" si="2"/>
        <v>X:\SCK\DVS</v>
      </c>
      <c r="N16" s="12" t="s">
        <v>398</v>
      </c>
      <c r="P16" s="1" t="str">
        <f t="shared" si="7"/>
        <v>ONITSUKA TIGER</v>
      </c>
      <c r="Q16" s="1" t="str">
        <f t="shared" si="3"/>
        <v>X:\ATTIC\ONITSUKA TIGER</v>
      </c>
      <c r="R16" s="12" t="s">
        <v>446</v>
      </c>
      <c r="T16" s="1" t="str">
        <f t="shared" si="8"/>
        <v>A.P.C. PETIT STANDARD</v>
      </c>
      <c r="U16" s="1" t="str">
        <f t="shared" si="9"/>
        <v>X:\@APPAREL FOR ALL\A.P.C. PETIT STANDARD</v>
      </c>
      <c r="V16" s="12" t="s">
        <v>474</v>
      </c>
    </row>
    <row r="17" spans="2:22" x14ac:dyDescent="0.25">
      <c r="B17" s="1" t="str">
        <f>A9</f>
        <v>X:</v>
      </c>
      <c r="D17" s="1" t="str">
        <f t="shared" si="4"/>
        <v>ASICS</v>
      </c>
      <c r="E17" s="1" t="str">
        <f t="shared" si="0"/>
        <v>X:\RUM's\ASICS</v>
      </c>
      <c r="F17" s="12" t="s">
        <v>43</v>
      </c>
      <c r="H17" s="1" t="str">
        <f t="shared" si="5"/>
        <v>CROCS</v>
      </c>
      <c r="I17" s="1" t="str">
        <f t="shared" si="1"/>
        <v>X:\AB\CROCS</v>
      </c>
      <c r="J17" s="12" t="s">
        <v>323</v>
      </c>
      <c r="L17" s="1" t="str">
        <f t="shared" si="6"/>
        <v>FILA</v>
      </c>
      <c r="M17" s="1" t="str">
        <f t="shared" si="2"/>
        <v>X:\SCK\FILA</v>
      </c>
      <c r="N17" s="12" t="s">
        <v>399</v>
      </c>
      <c r="P17" s="1" t="str">
        <f t="shared" si="7"/>
        <v>PUMA</v>
      </c>
      <c r="Q17" s="1" t="str">
        <f t="shared" si="3"/>
        <v>X:\ATTIC\PUMA</v>
      </c>
      <c r="R17" s="12" t="s">
        <v>447</v>
      </c>
      <c r="T17" s="1" t="str">
        <f t="shared" si="8"/>
        <v>A4</v>
      </c>
      <c r="U17" s="1" t="str">
        <f t="shared" si="9"/>
        <v>X:\@APPAREL FOR ALL\A4</v>
      </c>
      <c r="V17" s="12" t="s">
        <v>475</v>
      </c>
    </row>
    <row r="18" spans="2:22" x14ac:dyDescent="0.25">
      <c r="B18" s="1" t="str">
        <f>A9</f>
        <v>X:</v>
      </c>
      <c r="D18" s="1" t="str">
        <f t="shared" si="4"/>
        <v>ATELIERS</v>
      </c>
      <c r="E18" s="1" t="str">
        <f t="shared" si="0"/>
        <v>X:\RUM's\ATELIERS</v>
      </c>
      <c r="F18" s="12" t="s">
        <v>44</v>
      </c>
      <c r="H18" s="1" t="str">
        <f t="shared" si="5"/>
        <v>DANNER</v>
      </c>
      <c r="I18" s="1" t="str">
        <f t="shared" si="1"/>
        <v>X:\AB\DANNER</v>
      </c>
      <c r="J18" s="12" t="s">
        <v>324</v>
      </c>
      <c r="L18" s="1" t="str">
        <f t="shared" si="6"/>
        <v>HOKA</v>
      </c>
      <c r="M18" s="1" t="str">
        <f t="shared" si="2"/>
        <v>X:\SCK\HOKA</v>
      </c>
      <c r="N18" s="12" t="s">
        <v>400</v>
      </c>
      <c r="P18" s="1" t="str">
        <f t="shared" si="7"/>
        <v>RED WING</v>
      </c>
      <c r="Q18" s="1" t="str">
        <f t="shared" si="3"/>
        <v>X:\ATTIC\RED WING</v>
      </c>
      <c r="R18" s="12" t="s">
        <v>448</v>
      </c>
      <c r="T18" s="1" t="str">
        <f t="shared" si="8"/>
        <v>ACTIVE BASIC</v>
      </c>
      <c r="U18" s="1" t="str">
        <f t="shared" si="9"/>
        <v>X:\@APPAREL FOR ALL\ACTIVE BASIC</v>
      </c>
      <c r="V18" s="12" t="s">
        <v>476</v>
      </c>
    </row>
    <row r="19" spans="2:22" x14ac:dyDescent="0.25">
      <c r="B19" s="1" t="str">
        <f>A9</f>
        <v>X:</v>
      </c>
      <c r="D19" s="1" t="str">
        <f t="shared" si="4"/>
        <v>AVIA</v>
      </c>
      <c r="E19" s="1" t="str">
        <f t="shared" si="0"/>
        <v>X:\RUM's\AVIA</v>
      </c>
      <c r="F19" s="12" t="s">
        <v>45</v>
      </c>
      <c r="H19" s="1" t="str">
        <f t="shared" si="5"/>
        <v>DC</v>
      </c>
      <c r="I19" s="1" t="str">
        <f t="shared" si="1"/>
        <v>X:\AB\DC</v>
      </c>
      <c r="J19" s="12" t="s">
        <v>325</v>
      </c>
      <c r="L19" s="1" t="str">
        <f t="shared" si="6"/>
        <v>HUNTER</v>
      </c>
      <c r="M19" s="1" t="str">
        <f t="shared" si="2"/>
        <v>X:\SCK\HUNTER</v>
      </c>
      <c r="N19" s="12" t="s">
        <v>401</v>
      </c>
      <c r="P19" s="1" t="str">
        <f t="shared" si="7"/>
        <v>REEBOK</v>
      </c>
      <c r="Q19" s="1" t="str">
        <f t="shared" si="3"/>
        <v>X:\ATTIC\REEBOK</v>
      </c>
      <c r="R19" s="12" t="s">
        <v>449</v>
      </c>
      <c r="T19" s="1" t="str">
        <f t="shared" si="8"/>
        <v>ADIDAS</v>
      </c>
      <c r="U19" s="1" t="str">
        <f t="shared" si="9"/>
        <v>X:\@APPAREL FOR ALL\ADIDAS</v>
      </c>
      <c r="V19" s="12" t="s">
        <v>477</v>
      </c>
    </row>
    <row r="20" spans="2:22" x14ac:dyDescent="0.25">
      <c r="B20" s="1" t="str">
        <f>A9</f>
        <v>X:</v>
      </c>
      <c r="D20" s="1" t="str">
        <f t="shared" si="4"/>
        <v>B.O.C</v>
      </c>
      <c r="E20" s="1" t="str">
        <f t="shared" si="0"/>
        <v>X:\RUM's\B.O.C</v>
      </c>
      <c r="F20" s="12" t="s">
        <v>46</v>
      </c>
      <c r="H20" s="1" t="str">
        <f t="shared" si="5"/>
        <v>DIADORA</v>
      </c>
      <c r="I20" s="1" t="str">
        <f t="shared" si="1"/>
        <v>X:\AB\DIADORA</v>
      </c>
      <c r="J20" s="12" t="s">
        <v>326</v>
      </c>
      <c r="L20" s="1" t="str">
        <f t="shared" si="6"/>
        <v>KEEN</v>
      </c>
      <c r="M20" s="1" t="str">
        <f t="shared" si="2"/>
        <v>X:\SCK\KEEN</v>
      </c>
      <c r="N20" s="12" t="s">
        <v>402</v>
      </c>
      <c r="P20" s="1" t="str">
        <f t="shared" si="7"/>
        <v>SALOMON</v>
      </c>
      <c r="Q20" s="1" t="str">
        <f t="shared" si="3"/>
        <v>X:\ATTIC\SALOMON</v>
      </c>
      <c r="R20" s="12" t="s">
        <v>450</v>
      </c>
      <c r="T20" s="1" t="str">
        <f t="shared" si="8"/>
        <v>ALALA</v>
      </c>
      <c r="U20" s="1" t="str">
        <f t="shared" si="9"/>
        <v>X:\@APPAREL FOR ALL\ALALA</v>
      </c>
      <c r="V20" s="12" t="s">
        <v>478</v>
      </c>
    </row>
    <row r="21" spans="2:22" x14ac:dyDescent="0.25">
      <c r="B21" s="1" t="str">
        <f>A9</f>
        <v>X:</v>
      </c>
      <c r="D21" s="1" t="str">
        <f t="shared" si="4"/>
        <v>BADGLEY MISCHKA</v>
      </c>
      <c r="E21" s="1" t="str">
        <f t="shared" si="0"/>
        <v>X:\RUM's\BADGLEY MISCHKA</v>
      </c>
      <c r="F21" s="12" t="s">
        <v>47</v>
      </c>
      <c r="H21" s="1" t="str">
        <f t="shared" si="5"/>
        <v>DIESEL</v>
      </c>
      <c r="I21" s="1" t="str">
        <f t="shared" si="1"/>
        <v>X:\AB\DIESEL</v>
      </c>
      <c r="J21" s="12" t="s">
        <v>327</v>
      </c>
      <c r="L21" s="1" t="str">
        <f t="shared" si="6"/>
        <v>KSWISS</v>
      </c>
      <c r="M21" s="1" t="str">
        <f t="shared" si="2"/>
        <v>X:\SCK\KSWISS</v>
      </c>
      <c r="N21" s="12" t="s">
        <v>403</v>
      </c>
      <c r="P21" s="1" t="str">
        <f t="shared" si="7"/>
        <v>SAUCONY</v>
      </c>
      <c r="Q21" s="1" t="str">
        <f t="shared" si="3"/>
        <v>X:\ATTIC\SAUCONY</v>
      </c>
      <c r="R21" s="12" t="s">
        <v>451</v>
      </c>
      <c r="T21" s="1" t="str">
        <f t="shared" si="8"/>
        <v>ALLEGRA K</v>
      </c>
      <c r="U21" s="1" t="str">
        <f t="shared" si="9"/>
        <v>X:\@APPAREL FOR ALL\ALLEGRA K</v>
      </c>
      <c r="V21" s="12" t="s">
        <v>479</v>
      </c>
    </row>
    <row r="22" spans="2:22" x14ac:dyDescent="0.25">
      <c r="B22" s="1" t="str">
        <f>A9</f>
        <v>X:</v>
      </c>
      <c r="D22" s="1" t="str">
        <f t="shared" si="4"/>
        <v>BARETRAPS</v>
      </c>
      <c r="E22" s="1" t="str">
        <f t="shared" si="0"/>
        <v>X:\RUM's\BARETRAPS</v>
      </c>
      <c r="F22" s="12" t="s">
        <v>48</v>
      </c>
      <c r="H22" s="1" t="str">
        <f t="shared" si="5"/>
        <v>DR MARTENS</v>
      </c>
      <c r="I22" s="1" t="str">
        <f t="shared" si="1"/>
        <v>X:\AB\DR MARTENS</v>
      </c>
      <c r="J22" s="12" t="s">
        <v>328</v>
      </c>
      <c r="L22" s="1" t="str">
        <f t="shared" si="6"/>
        <v>LA SPORTIVA</v>
      </c>
      <c r="M22" s="1" t="str">
        <f t="shared" si="2"/>
        <v>X:\SCK\LA SPORTIVA</v>
      </c>
      <c r="N22" s="12" t="s">
        <v>404</v>
      </c>
      <c r="P22" s="1" t="str">
        <f t="shared" si="7"/>
        <v>TOPO ATHLETIC</v>
      </c>
      <c r="Q22" s="1" t="str">
        <f t="shared" si="3"/>
        <v>X:\ATTIC\TOPO ATHLETIC</v>
      </c>
      <c r="R22" s="12" t="s">
        <v>452</v>
      </c>
      <c r="T22" s="1" t="str">
        <f t="shared" si="8"/>
        <v>ALMOST FAMOUS</v>
      </c>
      <c r="U22" s="1" t="str">
        <f t="shared" si="9"/>
        <v>X:\@APPAREL FOR ALL\ALMOST FAMOUS</v>
      </c>
      <c r="V22" s="12" t="s">
        <v>480</v>
      </c>
    </row>
    <row r="23" spans="2:22" x14ac:dyDescent="0.25">
      <c r="B23" s="1" t="str">
        <f>A9</f>
        <v>X:</v>
      </c>
      <c r="D23" s="1" t="str">
        <f t="shared" si="4"/>
        <v>BEARPAW</v>
      </c>
      <c r="E23" s="1" t="str">
        <f t="shared" si="0"/>
        <v>X:\RUM's\BEARPAW</v>
      </c>
      <c r="F23" s="12" t="s">
        <v>49</v>
      </c>
      <c r="H23" s="1" t="str">
        <f t="shared" si="5"/>
        <v>DUNHAM</v>
      </c>
      <c r="I23" s="1" t="str">
        <f t="shared" si="1"/>
        <v>X:\AB\DUNHAM</v>
      </c>
      <c r="J23" s="12" t="s">
        <v>329</v>
      </c>
      <c r="L23" s="1" t="str">
        <f t="shared" si="6"/>
        <v>LACROSSE</v>
      </c>
      <c r="M23" s="1" t="str">
        <f t="shared" si="2"/>
        <v>X:\SCK\LACROSSE</v>
      </c>
      <c r="N23" s="12" t="s">
        <v>405</v>
      </c>
      <c r="P23" s="1" t="str">
        <f t="shared" si="7"/>
        <v>UGG</v>
      </c>
      <c r="Q23" s="1" t="str">
        <f t="shared" si="3"/>
        <v>X:\ATTIC\UGG</v>
      </c>
      <c r="R23" s="12" t="s">
        <v>453</v>
      </c>
      <c r="T23" s="1" t="str">
        <f t="shared" si="8"/>
        <v>ALO YOGA</v>
      </c>
      <c r="U23" s="1" t="str">
        <f t="shared" si="9"/>
        <v>X:\@APPAREL FOR ALL\ALO YOGA</v>
      </c>
      <c r="V23" s="12" t="s">
        <v>481</v>
      </c>
    </row>
    <row r="24" spans="2:22" x14ac:dyDescent="0.25">
      <c r="B24" s="1" t="str">
        <f>A9</f>
        <v>X:</v>
      </c>
      <c r="D24" s="1" t="str">
        <f t="shared" si="4"/>
        <v>BILLY</v>
      </c>
      <c r="E24" s="1" t="str">
        <f t="shared" si="0"/>
        <v>X:\RUM's\BILLY</v>
      </c>
      <c r="F24" s="12" t="s">
        <v>50</v>
      </c>
      <c r="H24" s="1" t="str">
        <f t="shared" si="5"/>
        <v>DVS</v>
      </c>
      <c r="I24" s="1" t="str">
        <f t="shared" si="1"/>
        <v>X:\AB\DVS</v>
      </c>
      <c r="J24" s="12" t="s">
        <v>330</v>
      </c>
      <c r="L24" s="1" t="str">
        <f t="shared" si="6"/>
        <v>LUGZ</v>
      </c>
      <c r="M24" s="1" t="str">
        <f t="shared" si="2"/>
        <v>X:\SCK\LUGZ</v>
      </c>
      <c r="N24" s="12" t="s">
        <v>406</v>
      </c>
      <c r="P24" s="1" t="str">
        <f t="shared" si="7"/>
        <v>UNDER ARMOUR</v>
      </c>
      <c r="Q24" s="1" t="str">
        <f t="shared" si="3"/>
        <v>X:\ATTIC\UNDER ARMOUR</v>
      </c>
      <c r="R24" s="12" t="s">
        <v>454</v>
      </c>
      <c r="T24" s="1" t="str">
        <f t="shared" si="8"/>
        <v>AMBIANCE APPAREL</v>
      </c>
      <c r="U24" s="1" t="str">
        <f t="shared" si="9"/>
        <v>X:\@APPAREL FOR ALL\AMBIANCE APPAREL</v>
      </c>
      <c r="V24" s="12" t="s">
        <v>482</v>
      </c>
    </row>
    <row r="25" spans="2:22" x14ac:dyDescent="0.25">
      <c r="B25" s="1" t="str">
        <f>A9</f>
        <v>X:</v>
      </c>
      <c r="D25" s="1" t="str">
        <f t="shared" si="4"/>
        <v>BIRKENSTOCK</v>
      </c>
      <c r="E25" s="1" t="str">
        <f t="shared" si="0"/>
        <v>X:\RUM's\BIRKENSTOCK</v>
      </c>
      <c r="F25" s="12" t="s">
        <v>51</v>
      </c>
      <c r="H25" s="1" t="str">
        <f t="shared" si="5"/>
        <v>EMU</v>
      </c>
      <c r="I25" s="1" t="str">
        <f t="shared" si="1"/>
        <v>X:\AB\EMU</v>
      </c>
      <c r="J25" s="12" t="s">
        <v>331</v>
      </c>
      <c r="L25" s="1" t="str">
        <f t="shared" si="6"/>
        <v>MERRELL</v>
      </c>
      <c r="M25" s="1" t="str">
        <f t="shared" si="2"/>
        <v>X:\SCK\MERRELL</v>
      </c>
      <c r="N25" s="12" t="s">
        <v>407</v>
      </c>
      <c r="P25" s="1" t="str">
        <f t="shared" si="7"/>
        <v>VANS</v>
      </c>
      <c r="Q25" s="1" t="str">
        <f t="shared" si="3"/>
        <v>X:\ATTIC\VANS</v>
      </c>
      <c r="R25" t="s">
        <v>455</v>
      </c>
      <c r="T25" s="1" t="str">
        <f t="shared" si="8"/>
        <v>AMERICAN APPAREL</v>
      </c>
      <c r="U25" s="1" t="str">
        <f t="shared" si="9"/>
        <v>X:\@APPAREL FOR ALL\AMERICAN APPAREL</v>
      </c>
      <c r="V25" s="12" t="s">
        <v>483</v>
      </c>
    </row>
    <row r="26" spans="2:22" x14ac:dyDescent="0.25">
      <c r="B26" s="1" t="str">
        <f>A9</f>
        <v>X:</v>
      </c>
      <c r="D26" s="1" t="str">
        <f t="shared" si="4"/>
        <v>BLUNDSTONE</v>
      </c>
      <c r="E26" s="1" t="str">
        <f t="shared" si="0"/>
        <v>X:\RUM's\BLUNDSTONE</v>
      </c>
      <c r="F26" s="12" t="s">
        <v>52</v>
      </c>
      <c r="H26" s="1" t="str">
        <f t="shared" si="5"/>
        <v>ETNIES</v>
      </c>
      <c r="I26" s="1" t="str">
        <f t="shared" si="1"/>
        <v>X:\AB\ETNIES</v>
      </c>
      <c r="J26" s="12" t="s">
        <v>332</v>
      </c>
      <c r="L26" s="1" t="str">
        <f t="shared" si="6"/>
        <v>NATIVE</v>
      </c>
      <c r="M26" s="1" t="str">
        <f t="shared" si="2"/>
        <v>X:\SCK\NATIVE</v>
      </c>
      <c r="N26" s="12" t="s">
        <v>408</v>
      </c>
      <c r="P26" s="1" t="str">
        <f t="shared" si="7"/>
        <v>VIONIC</v>
      </c>
      <c r="Q26" s="1" t="str">
        <f t="shared" si="3"/>
        <v>X:\ATTIC\VIONIC</v>
      </c>
      <c r="R26" t="s">
        <v>456</v>
      </c>
      <c r="T26" s="1" t="str">
        <f t="shared" si="8"/>
        <v>AMETHYST</v>
      </c>
      <c r="U26" s="1" t="str">
        <f t="shared" si="9"/>
        <v>X:\@APPAREL FOR ALL\AMETHYST</v>
      </c>
      <c r="V26" s="12" t="s">
        <v>484</v>
      </c>
    </row>
    <row r="27" spans="2:22" x14ac:dyDescent="0.25">
      <c r="B27" s="1" t="str">
        <f>A9</f>
        <v>X:</v>
      </c>
      <c r="D27" s="1" t="str">
        <f t="shared" si="4"/>
        <v>BM</v>
      </c>
      <c r="E27" s="1" t="str">
        <f t="shared" si="0"/>
        <v>X:\RUM's\BM</v>
      </c>
      <c r="F27" s="12" t="s">
        <v>53</v>
      </c>
      <c r="H27" s="1" t="str">
        <f t="shared" si="5"/>
        <v>FILA</v>
      </c>
      <c r="I27" s="1" t="str">
        <f t="shared" si="1"/>
        <v>X:\AB\FILA</v>
      </c>
      <c r="J27" s="12" t="s">
        <v>333</v>
      </c>
      <c r="L27" s="1" t="str">
        <f t="shared" si="6"/>
        <v>NEW BALANCE</v>
      </c>
      <c r="M27" s="1" t="str">
        <f t="shared" si="2"/>
        <v>X:\SCK\NEW BALANCE</v>
      </c>
      <c r="N27" s="12" t="s">
        <v>409</v>
      </c>
      <c r="P27" s="1" t="str">
        <f t="shared" si="7"/>
        <v>@Lists.xlsx</v>
      </c>
      <c r="Q27" s="1" t="str">
        <f t="shared" si="3"/>
        <v>X:\ATTIC\@Lists.xlsx</v>
      </c>
      <c r="R27" t="s">
        <v>457</v>
      </c>
      <c r="T27" s="1" t="str">
        <f t="shared" si="8"/>
        <v>ANN TAYLOR</v>
      </c>
      <c r="U27" s="1" t="str">
        <f t="shared" si="9"/>
        <v>X:\@APPAREL FOR ALL\ANN TAYLOR</v>
      </c>
      <c r="V27" s="12" t="s">
        <v>485</v>
      </c>
    </row>
    <row r="28" spans="2:22" x14ac:dyDescent="0.25">
      <c r="B28" s="1" t="str">
        <f>A9</f>
        <v>X:</v>
      </c>
      <c r="D28" s="1" t="str">
        <f t="shared" si="4"/>
        <v>BOGS</v>
      </c>
      <c r="E28" s="1" t="str">
        <f t="shared" si="0"/>
        <v>X:\RUM's\BOGS</v>
      </c>
      <c r="F28" s="12" t="s">
        <v>54</v>
      </c>
      <c r="H28" s="1" t="str">
        <f t="shared" si="5"/>
        <v>FITFLOP</v>
      </c>
      <c r="I28" s="1" t="str">
        <f t="shared" si="1"/>
        <v>X:\AB\FITFLOP</v>
      </c>
      <c r="J28" s="12" t="s">
        <v>334</v>
      </c>
      <c r="L28" s="1" t="str">
        <f t="shared" si="6"/>
        <v>NIKE</v>
      </c>
      <c r="M28" s="1" t="str">
        <f t="shared" si="2"/>
        <v>X:\SCK\NIKE</v>
      </c>
      <c r="N28" s="12" t="s">
        <v>410</v>
      </c>
      <c r="P28" s="1" t="str">
        <f t="shared" si="7"/>
        <v>naming_conventions.jpg</v>
      </c>
      <c r="Q28" s="1" t="str">
        <f t="shared" si="3"/>
        <v>X:\ATTIC\naming_conventions.jpg</v>
      </c>
      <c r="R28" t="s">
        <v>458</v>
      </c>
      <c r="T28" s="1" t="str">
        <f t="shared" si="8"/>
        <v>ANTIGUA</v>
      </c>
      <c r="U28" s="1" t="str">
        <f t="shared" si="9"/>
        <v>X:\@APPAREL FOR ALL\ANTIGUA</v>
      </c>
      <c r="V28" s="12" t="s">
        <v>486</v>
      </c>
    </row>
    <row r="29" spans="2:22" x14ac:dyDescent="0.25">
      <c r="B29" s="1" t="str">
        <f>A9</f>
        <v>X:</v>
      </c>
      <c r="D29" s="1" t="str">
        <f t="shared" si="4"/>
        <v>BORN</v>
      </c>
      <c r="E29" s="1" t="str">
        <f t="shared" si="0"/>
        <v>X:\RUM's\BORN</v>
      </c>
      <c r="F29" s="12" t="s">
        <v>55</v>
      </c>
      <c r="H29" s="1" t="str">
        <f t="shared" si="5"/>
        <v>GOURMET</v>
      </c>
      <c r="I29" s="1" t="str">
        <f t="shared" si="1"/>
        <v>X:\AB\GOURMET</v>
      </c>
      <c r="J29" s="12" t="s">
        <v>335</v>
      </c>
      <c r="L29" s="1" t="str">
        <f t="shared" si="6"/>
        <v>NORTH FACE</v>
      </c>
      <c r="M29" s="1" t="str">
        <f t="shared" si="2"/>
        <v>X:\SCK\NORTH FACE</v>
      </c>
      <c r="N29" s="12" t="s">
        <v>411</v>
      </c>
      <c r="P29" s="1" t="str">
        <f t="shared" si="7"/>
        <v>naming_conventions.psd</v>
      </c>
      <c r="Q29" s="1" t="str">
        <f t="shared" si="3"/>
        <v>X:\ATTIC\naming_conventions.psd</v>
      </c>
      <c r="R29" t="s">
        <v>459</v>
      </c>
      <c r="T29" s="1" t="str">
        <f t="shared" si="8"/>
        <v>ANUE</v>
      </c>
      <c r="U29" s="1" t="str">
        <f t="shared" si="9"/>
        <v>X:\@APPAREL FOR ALL\ANUE</v>
      </c>
      <c r="V29" s="12" t="s">
        <v>487</v>
      </c>
    </row>
    <row r="30" spans="2:22" x14ac:dyDescent="0.25">
      <c r="B30" s="1" t="str">
        <f>A9</f>
        <v>X:</v>
      </c>
      <c r="D30" s="1" t="str">
        <f t="shared" si="4"/>
        <v>BRANDBLACK</v>
      </c>
      <c r="E30" s="1" t="str">
        <f t="shared" si="0"/>
        <v>X:\RUM's\BRANDBLACK</v>
      </c>
      <c r="F30" s="12" t="s">
        <v>56</v>
      </c>
      <c r="H30" s="1" t="str">
        <f t="shared" si="5"/>
        <v>GRAVITY DEFYER</v>
      </c>
      <c r="I30" s="1" t="str">
        <f t="shared" si="1"/>
        <v>X:\AB\GRAVITY DEFYER</v>
      </c>
      <c r="J30" s="12" t="s">
        <v>336</v>
      </c>
      <c r="L30" s="1" t="str">
        <f t="shared" si="6"/>
        <v>ON</v>
      </c>
      <c r="M30" s="1" t="str">
        <f t="shared" si="2"/>
        <v>X:\SCK\ON</v>
      </c>
      <c r="N30" s="12" t="s">
        <v>412</v>
      </c>
      <c r="T30" s="1" t="str">
        <f t="shared" si="8"/>
        <v>ARCHIVE PICTURE</v>
      </c>
      <c r="U30" s="1" t="str">
        <f t="shared" si="9"/>
        <v>X:\@APPAREL FOR ALL\ARCHIVE PICTURE</v>
      </c>
      <c r="V30" s="12" t="s">
        <v>488</v>
      </c>
    </row>
    <row r="31" spans="2:22" x14ac:dyDescent="0.25">
      <c r="B31" s="1" t="str">
        <f>A9</f>
        <v>X:</v>
      </c>
      <c r="D31" s="1" t="str">
        <f t="shared" si="4"/>
        <v>BRONAX</v>
      </c>
      <c r="E31" s="1" t="str">
        <f t="shared" si="0"/>
        <v>X:\RUM's\BRONAX</v>
      </c>
      <c r="F31" s="12" t="s">
        <v>57</v>
      </c>
      <c r="H31" s="1" t="str">
        <f t="shared" si="5"/>
        <v>HAVAIANAS</v>
      </c>
      <c r="I31" s="1" t="str">
        <f t="shared" si="1"/>
        <v>X:\AB\HAVAIANAS</v>
      </c>
      <c r="J31" s="12" t="s">
        <v>337</v>
      </c>
      <c r="L31" s="1" t="str">
        <f t="shared" si="6"/>
        <v>PAPILLIO</v>
      </c>
      <c r="M31" s="1" t="str">
        <f t="shared" si="2"/>
        <v>X:\SCK\PAPILLIO</v>
      </c>
      <c r="N31" s="12" t="s">
        <v>413</v>
      </c>
      <c r="T31" s="1" t="str">
        <f t="shared" si="8"/>
        <v>ARMPOCKET</v>
      </c>
      <c r="U31" s="1" t="str">
        <f t="shared" si="9"/>
        <v>X:\@APPAREL FOR ALL\ARMPOCKET</v>
      </c>
      <c r="V31" s="12" t="s">
        <v>489</v>
      </c>
    </row>
    <row r="32" spans="2:22" x14ac:dyDescent="0.25">
      <c r="B32" s="1" t="str">
        <f>A9</f>
        <v>X:</v>
      </c>
      <c r="D32" s="1" t="str">
        <f t="shared" si="4"/>
        <v>BROOKS</v>
      </c>
      <c r="E32" s="1" t="str">
        <f t="shared" si="0"/>
        <v>X:\RUM's\BROOKS</v>
      </c>
      <c r="F32" s="12" t="s">
        <v>58</v>
      </c>
      <c r="H32" s="1" t="str">
        <f t="shared" si="5"/>
        <v>HEELYS</v>
      </c>
      <c r="I32" s="1" t="str">
        <f t="shared" si="1"/>
        <v>X:\AB\HEELYS</v>
      </c>
      <c r="J32" s="12" t="s">
        <v>338</v>
      </c>
      <c r="L32" s="1" t="str">
        <f t="shared" si="6"/>
        <v>PENGUIN</v>
      </c>
      <c r="M32" s="1" t="str">
        <f t="shared" si="2"/>
        <v>X:\SCK\PENGUIN</v>
      </c>
      <c r="N32" s="12" t="s">
        <v>414</v>
      </c>
      <c r="T32" s="1" t="str">
        <f t="shared" si="8"/>
        <v>ASICS</v>
      </c>
      <c r="U32" s="1" t="str">
        <f t="shared" si="9"/>
        <v>X:\@APPAREL FOR ALL\ASICS</v>
      </c>
      <c r="V32" s="12" t="s">
        <v>490</v>
      </c>
    </row>
    <row r="33" spans="2:22" x14ac:dyDescent="0.25">
      <c r="B33" s="1" t="str">
        <f>A9</f>
        <v>X:</v>
      </c>
      <c r="D33" s="1" t="str">
        <f t="shared" si="4"/>
        <v>BROWNING</v>
      </c>
      <c r="E33" s="1" t="str">
        <f t="shared" si="0"/>
        <v>X:\RUM's\BROWNING</v>
      </c>
      <c r="F33" s="12" t="s">
        <v>59</v>
      </c>
      <c r="H33" s="1" t="str">
        <f t="shared" si="5"/>
        <v>HELLY HANSEN</v>
      </c>
      <c r="I33" s="1" t="str">
        <f t="shared" si="1"/>
        <v>X:\AB\HELLY HANSEN</v>
      </c>
      <c r="J33" s="12" t="s">
        <v>339</v>
      </c>
      <c r="L33" s="1" t="str">
        <f t="shared" si="6"/>
        <v>PUMA</v>
      </c>
      <c r="M33" s="1" t="str">
        <f t="shared" si="2"/>
        <v>X:\SCK\PUMA</v>
      </c>
      <c r="N33" s="12" t="s">
        <v>415</v>
      </c>
      <c r="T33" s="1" t="str">
        <f t="shared" si="8"/>
        <v>Avalanche Supply</v>
      </c>
      <c r="U33" s="1" t="str">
        <f t="shared" si="9"/>
        <v>X:\@APPAREL FOR ALL\Avalanche Supply</v>
      </c>
      <c r="V33" s="12" t="s">
        <v>491</v>
      </c>
    </row>
    <row r="34" spans="2:22" x14ac:dyDescent="0.25">
      <c r="B34" s="1" t="str">
        <f>A9</f>
        <v>X:</v>
      </c>
      <c r="D34" s="1" t="str">
        <f t="shared" si="4"/>
        <v>CALL IT SPRING</v>
      </c>
      <c r="E34" s="1" t="str">
        <f t="shared" si="0"/>
        <v>X:\RUM's\CALL IT SPRING</v>
      </c>
      <c r="F34" s="12" t="s">
        <v>60</v>
      </c>
      <c r="H34" s="1" t="str">
        <f t="shared" si="5"/>
        <v>HEY DUDE</v>
      </c>
      <c r="I34" s="1" t="str">
        <f t="shared" ref="I34:I65" si="10">CONCATENATE(B34,J34)</f>
        <v>X:\AB\HEY DUDE</v>
      </c>
      <c r="J34" s="12" t="s">
        <v>340</v>
      </c>
      <c r="L34" s="1" t="str">
        <f t="shared" si="6"/>
        <v>RED WING</v>
      </c>
      <c r="M34" s="1" t="str">
        <f t="shared" si="2"/>
        <v>X:\SCK\RED WING</v>
      </c>
      <c r="N34" s="12" t="s">
        <v>416</v>
      </c>
      <c r="T34" s="1" t="str">
        <f t="shared" si="8"/>
        <v>B.O.A</v>
      </c>
      <c r="U34" s="1" t="str">
        <f t="shared" si="9"/>
        <v>X:\@APPAREL FOR ALL\B.O.A</v>
      </c>
      <c r="V34" s="12" t="s">
        <v>492</v>
      </c>
    </row>
    <row r="35" spans="2:22" x14ac:dyDescent="0.25">
      <c r="B35" s="1" t="str">
        <f>A9</f>
        <v>X:</v>
      </c>
      <c r="D35" s="1" t="str">
        <f t="shared" si="4"/>
        <v>CAMPER</v>
      </c>
      <c r="E35" s="1" t="str">
        <f t="shared" si="0"/>
        <v>X:\RUM's\CAMPER</v>
      </c>
      <c r="F35" s="12" t="s">
        <v>61</v>
      </c>
      <c r="H35" s="1" t="str">
        <f t="shared" si="5"/>
        <v>HOKA ONE ONE</v>
      </c>
      <c r="I35" s="1" t="str">
        <f t="shared" si="10"/>
        <v>X:\AB\HOKA ONE ONE</v>
      </c>
      <c r="J35" s="12" t="s">
        <v>341</v>
      </c>
      <c r="L35" s="1" t="str">
        <f t="shared" si="6"/>
        <v>REEBOK</v>
      </c>
      <c r="M35" s="1" t="str">
        <f t="shared" si="2"/>
        <v>X:\SCK\REEBOK</v>
      </c>
      <c r="N35" s="12" t="s">
        <v>417</v>
      </c>
      <c r="T35" s="1" t="str">
        <f t="shared" si="8"/>
        <v>BAGS FOR LESS</v>
      </c>
      <c r="U35" s="1" t="str">
        <f t="shared" si="9"/>
        <v>X:\@APPAREL FOR ALL\BAGS FOR LESS</v>
      </c>
      <c r="V35" s="12" t="s">
        <v>493</v>
      </c>
    </row>
    <row r="36" spans="2:22" x14ac:dyDescent="0.25">
      <c r="B36" s="1" t="str">
        <f>A9</f>
        <v>X:</v>
      </c>
      <c r="D36" s="1" t="str">
        <f t="shared" si="4"/>
        <v>CAROLINA</v>
      </c>
      <c r="E36" s="1" t="str">
        <f t="shared" si="0"/>
        <v>X:\RUM's\CAROLINA</v>
      </c>
      <c r="F36" s="12" t="s">
        <v>62</v>
      </c>
      <c r="H36" s="1" t="str">
        <f t="shared" si="5"/>
        <v>HUNTER</v>
      </c>
      <c r="I36" s="1" t="str">
        <f t="shared" si="10"/>
        <v>X:\AB\HUNTER</v>
      </c>
      <c r="J36" s="12" t="s">
        <v>342</v>
      </c>
      <c r="L36" s="1" t="str">
        <f t="shared" si="6"/>
        <v>REEF</v>
      </c>
      <c r="M36" s="1" t="str">
        <f t="shared" si="2"/>
        <v>X:\SCK\REEF</v>
      </c>
      <c r="N36" s="12" t="s">
        <v>418</v>
      </c>
      <c r="T36" s="1" t="str">
        <f t="shared" si="8"/>
        <v>BALEGA</v>
      </c>
      <c r="U36" s="1" t="str">
        <f t="shared" si="9"/>
        <v>X:\@APPAREL FOR ALL\BALEGA</v>
      </c>
      <c r="V36" s="12" t="s">
        <v>494</v>
      </c>
    </row>
    <row r="37" spans="2:22" x14ac:dyDescent="0.25">
      <c r="B37" s="1" t="str">
        <f>A9</f>
        <v>X:</v>
      </c>
      <c r="D37" s="1" t="str">
        <f t="shared" si="4"/>
        <v>CCILU</v>
      </c>
      <c r="E37" s="1" t="str">
        <f t="shared" si="0"/>
        <v>X:\RUM's\CCILU</v>
      </c>
      <c r="F37" s="12" t="s">
        <v>63</v>
      </c>
      <c r="H37" s="1" t="str">
        <f t="shared" si="5"/>
        <v>IMPALA</v>
      </c>
      <c r="I37" s="1" t="str">
        <f t="shared" si="10"/>
        <v>X:\AB\IMPALA</v>
      </c>
      <c r="J37" s="12" t="s">
        <v>343</v>
      </c>
      <c r="L37" s="1" t="str">
        <f t="shared" si="6"/>
        <v>SALOMON</v>
      </c>
      <c r="M37" s="1" t="str">
        <f t="shared" si="2"/>
        <v>X:\SCK\SALOMON</v>
      </c>
      <c r="N37" s="12" t="s">
        <v>419</v>
      </c>
      <c r="T37" s="1" t="str">
        <f t="shared" si="8"/>
        <v>BAYSIX</v>
      </c>
      <c r="U37" s="1" t="str">
        <f t="shared" si="9"/>
        <v>X:\@APPAREL FOR ALL\BAYSIX</v>
      </c>
      <c r="V37" s="12" t="s">
        <v>495</v>
      </c>
    </row>
    <row r="38" spans="2:22" x14ac:dyDescent="0.25">
      <c r="B38" s="1" t="str">
        <f>A9</f>
        <v>X:</v>
      </c>
      <c r="D38" s="1" t="str">
        <f t="shared" si="4"/>
        <v>CHACO</v>
      </c>
      <c r="E38" s="1" t="str">
        <f t="shared" si="0"/>
        <v>X:\RUM's\CHACO</v>
      </c>
      <c r="F38" s="12" t="s">
        <v>64</v>
      </c>
      <c r="H38" s="1" t="str">
        <f t="shared" si="5"/>
        <v>INKKAS</v>
      </c>
      <c r="I38" s="1" t="str">
        <f t="shared" si="10"/>
        <v>X:\AB\INKKAS</v>
      </c>
      <c r="J38" s="12" t="s">
        <v>344</v>
      </c>
      <c r="L38" s="1" t="str">
        <f t="shared" si="6"/>
        <v>SANUK</v>
      </c>
      <c r="M38" s="1" t="str">
        <f t="shared" si="2"/>
        <v>X:\SCK\SANUK</v>
      </c>
      <c r="N38" s="12" t="s">
        <v>420</v>
      </c>
      <c r="T38" s="1" t="str">
        <f t="shared" si="8"/>
        <v>BEYOND YOGA</v>
      </c>
      <c r="U38" s="1" t="str">
        <f t="shared" si="9"/>
        <v>X:\@APPAREL FOR ALL\BEYOND YOGA</v>
      </c>
      <c r="V38" s="12" t="s">
        <v>496</v>
      </c>
    </row>
    <row r="39" spans="2:22" x14ac:dyDescent="0.25">
      <c r="B39" s="1" t="str">
        <f>A9</f>
        <v>X:</v>
      </c>
      <c r="D39" s="1" t="str">
        <f t="shared" si="4"/>
        <v>CHAMPION</v>
      </c>
      <c r="E39" s="1" t="str">
        <f t="shared" si="0"/>
        <v>X:\RUM's\CHAMPION</v>
      </c>
      <c r="F39" s="12" t="s">
        <v>65</v>
      </c>
      <c r="H39" s="1" t="str">
        <f t="shared" si="5"/>
        <v>Johnston &amp; Murphy</v>
      </c>
      <c r="I39" s="1" t="str">
        <f t="shared" si="10"/>
        <v>X:\AB\Johnston &amp; Murphy</v>
      </c>
      <c r="J39" s="12" t="s">
        <v>345</v>
      </c>
      <c r="L39" s="1" t="str">
        <f t="shared" si="6"/>
        <v>SAUCONY</v>
      </c>
      <c r="M39" s="1" t="str">
        <f t="shared" si="2"/>
        <v>X:\SCK\SAUCONY</v>
      </c>
      <c r="N39" s="12" t="s">
        <v>421</v>
      </c>
      <c r="T39" s="1" t="str">
        <f t="shared" si="8"/>
        <v>BILLIONAIRE BOYS CLUB</v>
      </c>
      <c r="U39" s="1" t="str">
        <f t="shared" si="9"/>
        <v>X:\@APPAREL FOR ALL\BILLIONAIRE BOYS CLUB</v>
      </c>
      <c r="V39" s="12" t="s">
        <v>497</v>
      </c>
    </row>
    <row r="40" spans="2:22" x14ac:dyDescent="0.25">
      <c r="B40" s="1" t="str">
        <f>A9</f>
        <v>X:</v>
      </c>
      <c r="D40" s="1" t="str">
        <f t="shared" si="4"/>
        <v>CHARMING CHARLIE</v>
      </c>
      <c r="E40" s="1" t="str">
        <f t="shared" si="0"/>
        <v>X:\RUM's\CHARMING CHARLIE</v>
      </c>
      <c r="F40" s="12" t="s">
        <v>66</v>
      </c>
      <c r="H40" s="1" t="str">
        <f t="shared" si="5"/>
        <v>KEEN</v>
      </c>
      <c r="I40" s="1" t="str">
        <f t="shared" si="10"/>
        <v>X:\AB\KEEN</v>
      </c>
      <c r="J40" s="12" t="s">
        <v>346</v>
      </c>
      <c r="L40" s="1" t="str">
        <f t="shared" si="6"/>
        <v>SKECHERS</v>
      </c>
      <c r="M40" s="1" t="str">
        <f t="shared" si="2"/>
        <v>X:\SCK\SKECHERS</v>
      </c>
      <c r="N40" s="12" t="s">
        <v>422</v>
      </c>
      <c r="T40" s="1" t="str">
        <f t="shared" si="8"/>
        <v>BIO RELIEF</v>
      </c>
      <c r="U40" s="1" t="str">
        <f t="shared" si="9"/>
        <v>X:\@APPAREL FOR ALL\BIO RELIEF</v>
      </c>
      <c r="V40" s="12" t="s">
        <v>498</v>
      </c>
    </row>
    <row r="41" spans="2:22" x14ac:dyDescent="0.25">
      <c r="B41" s="1" t="str">
        <f>A9</f>
        <v>X:</v>
      </c>
      <c r="D41" s="1" t="str">
        <f t="shared" si="4"/>
        <v>CIRCA</v>
      </c>
      <c r="E41" s="1" t="str">
        <f t="shared" si="0"/>
        <v>X:\RUM's\CIRCA</v>
      </c>
      <c r="F41" s="12" t="s">
        <v>67</v>
      </c>
      <c r="H41" s="1" t="str">
        <f t="shared" si="5"/>
        <v>KSWISS</v>
      </c>
      <c r="I41" s="1" t="str">
        <f t="shared" si="10"/>
        <v>X:\AB\KSWISS</v>
      </c>
      <c r="J41" s="12" t="s">
        <v>347</v>
      </c>
      <c r="L41" s="1" t="str">
        <f t="shared" si="6"/>
        <v>SOREL</v>
      </c>
      <c r="M41" s="1" t="str">
        <f t="shared" si="2"/>
        <v>X:\SCK\SOREL</v>
      </c>
      <c r="N41" s="12" t="s">
        <v>423</v>
      </c>
      <c r="T41" s="1" t="str">
        <f t="shared" si="8"/>
        <v>BIRKENSTOCK</v>
      </c>
      <c r="U41" s="1" t="str">
        <f t="shared" si="9"/>
        <v>X:\@APPAREL FOR ALL\BIRKENSTOCK</v>
      </c>
      <c r="V41" s="12" t="s">
        <v>499</v>
      </c>
    </row>
    <row r="42" spans="2:22" x14ac:dyDescent="0.25">
      <c r="B42" s="1" t="str">
        <f>A9</f>
        <v>X:</v>
      </c>
      <c r="D42" s="1" t="str">
        <f t="shared" si="4"/>
        <v>CITY CLASSIFIED</v>
      </c>
      <c r="E42" s="1" t="str">
        <f t="shared" si="0"/>
        <v>X:\RUM's\CITY CLASSIFIED</v>
      </c>
      <c r="F42" s="12" t="s">
        <v>68</v>
      </c>
      <c r="H42" s="1" t="str">
        <f t="shared" si="5"/>
        <v>LA SPORTIVA</v>
      </c>
      <c r="I42" s="1" t="str">
        <f t="shared" si="10"/>
        <v>X:\AB\LA SPORTIVA</v>
      </c>
      <c r="J42" s="12" t="s">
        <v>348</v>
      </c>
      <c r="L42" s="1" t="str">
        <f t="shared" si="6"/>
        <v>SPERRY</v>
      </c>
      <c r="M42" s="1" t="str">
        <f t="shared" si="2"/>
        <v>X:\SCK\SPERRY</v>
      </c>
      <c r="N42" s="12" t="s">
        <v>424</v>
      </c>
      <c r="T42" s="1" t="str">
        <f t="shared" si="8"/>
        <v>BLBD</v>
      </c>
      <c r="U42" s="1" t="str">
        <f t="shared" si="9"/>
        <v>X:\@APPAREL FOR ALL\BLBD</v>
      </c>
      <c r="V42" s="12" t="s">
        <v>500</v>
      </c>
    </row>
    <row r="43" spans="2:22" x14ac:dyDescent="0.25">
      <c r="B43" s="1" t="str">
        <f>A9</f>
        <v>X:</v>
      </c>
      <c r="D43" s="1" t="str">
        <f t="shared" si="4"/>
        <v>CLARKS</v>
      </c>
      <c r="E43" s="1" t="str">
        <f t="shared" si="0"/>
        <v>X:\RUM's\CLARKS</v>
      </c>
      <c r="F43" s="12" t="s">
        <v>69</v>
      </c>
      <c r="H43" s="1" t="str">
        <f t="shared" si="5"/>
        <v>LACOSTE</v>
      </c>
      <c r="I43" s="1" t="str">
        <f t="shared" si="10"/>
        <v>X:\AB\LACOSTE</v>
      </c>
      <c r="J43" s="12" t="s">
        <v>349</v>
      </c>
      <c r="L43" s="1" t="str">
        <f t="shared" si="6"/>
        <v>SPIRA</v>
      </c>
      <c r="M43" s="1" t="str">
        <f t="shared" si="2"/>
        <v>X:\SCK\SPIRA</v>
      </c>
      <c r="N43" s="12" t="s">
        <v>425</v>
      </c>
      <c r="T43" s="1" t="str">
        <f t="shared" si="8"/>
        <v>BLUE 84</v>
      </c>
      <c r="U43" s="1" t="str">
        <f t="shared" si="9"/>
        <v>X:\@APPAREL FOR ALL\BLUE 84</v>
      </c>
      <c r="V43" s="12" t="s">
        <v>501</v>
      </c>
    </row>
    <row r="44" spans="2:22" x14ac:dyDescent="0.25">
      <c r="B44" s="1" t="str">
        <f>A9</f>
        <v>X:</v>
      </c>
      <c r="D44" s="1" t="str">
        <f t="shared" si="4"/>
        <v>COLE HAAN</v>
      </c>
      <c r="E44" s="1" t="str">
        <f t="shared" si="0"/>
        <v>X:\RUM's\COLE HAAN</v>
      </c>
      <c r="F44" s="12" t="s">
        <v>70</v>
      </c>
      <c r="H44" s="1" t="str">
        <f t="shared" si="5"/>
        <v>LACROSSE</v>
      </c>
      <c r="I44" s="1" t="str">
        <f t="shared" si="10"/>
        <v>X:\AB\LACROSSE</v>
      </c>
      <c r="J44" s="12" t="s">
        <v>350</v>
      </c>
      <c r="L44" s="1" t="str">
        <f t="shared" si="6"/>
        <v>SUPRA</v>
      </c>
      <c r="M44" s="1" t="str">
        <f t="shared" si="2"/>
        <v>X:\SCK\SUPRA</v>
      </c>
      <c r="N44" s="12" t="s">
        <v>426</v>
      </c>
      <c r="T44" s="1" t="str">
        <f t="shared" si="8"/>
        <v>BLUE ASPHALT</v>
      </c>
      <c r="U44" s="1" t="str">
        <f t="shared" si="9"/>
        <v>X:\@APPAREL FOR ALL\BLUE ASPHALT</v>
      </c>
      <c r="V44" s="12" t="s">
        <v>502</v>
      </c>
    </row>
    <row r="45" spans="2:22" x14ac:dyDescent="0.25">
      <c r="B45" s="1" t="str">
        <f>A9</f>
        <v>X:</v>
      </c>
      <c r="D45" s="1" t="str">
        <f t="shared" si="4"/>
        <v>COLUMBIA</v>
      </c>
      <c r="E45" s="1" t="str">
        <f t="shared" si="0"/>
        <v>X:\RUM's\COLUMBIA</v>
      </c>
      <c r="F45" s="12" t="s">
        <v>71</v>
      </c>
      <c r="H45" s="1" t="str">
        <f t="shared" si="5"/>
        <v>MERRELL</v>
      </c>
      <c r="I45" s="1" t="str">
        <f t="shared" si="10"/>
        <v>X:\AB\MERRELL</v>
      </c>
      <c r="J45" s="12" t="s">
        <v>351</v>
      </c>
      <c r="L45" s="1" t="str">
        <f t="shared" si="6"/>
        <v>TOMS</v>
      </c>
      <c r="M45" s="1" t="str">
        <f t="shared" si="2"/>
        <v>X:\SCK\TOMS</v>
      </c>
      <c r="N45" s="12" t="s">
        <v>427</v>
      </c>
      <c r="T45" s="1" t="str">
        <f t="shared" si="8"/>
        <v>BLUESEVENTY</v>
      </c>
      <c r="U45" s="1" t="str">
        <f t="shared" si="9"/>
        <v>X:\@APPAREL FOR ALL\BLUESEVENTY</v>
      </c>
      <c r="V45" s="12" t="s">
        <v>503</v>
      </c>
    </row>
    <row r="46" spans="2:22" x14ac:dyDescent="0.25">
      <c r="B46" s="1" t="str">
        <f>A9</f>
        <v>X:</v>
      </c>
      <c r="D46" s="1" t="str">
        <f t="shared" si="4"/>
        <v>COMFORTIVA</v>
      </c>
      <c r="E46" s="1" t="str">
        <f t="shared" si="0"/>
        <v>X:\RUM's\COMFORTIVA</v>
      </c>
      <c r="F46" s="12" t="s">
        <v>72</v>
      </c>
      <c r="H46" s="1" t="str">
        <f t="shared" si="5"/>
        <v>MINNETONKA</v>
      </c>
      <c r="I46" s="1" t="str">
        <f t="shared" si="10"/>
        <v>X:\AB\MINNETONKA</v>
      </c>
      <c r="J46" s="12" t="s">
        <v>352</v>
      </c>
      <c r="L46" s="1" t="str">
        <f t="shared" si="6"/>
        <v>TOPO</v>
      </c>
      <c r="M46" s="1" t="str">
        <f t="shared" si="2"/>
        <v>X:\SCK\TOPO</v>
      </c>
      <c r="N46" s="12" t="s">
        <v>428</v>
      </c>
      <c r="T46" s="1" t="str">
        <f t="shared" si="8"/>
        <v>BORN X RAISED</v>
      </c>
      <c r="U46" s="1" t="str">
        <f t="shared" si="9"/>
        <v>X:\@APPAREL FOR ALL\BORN X RAISED</v>
      </c>
      <c r="V46" s="12" t="s">
        <v>504</v>
      </c>
    </row>
    <row r="47" spans="2:22" x14ac:dyDescent="0.25">
      <c r="B47" s="1" t="str">
        <f>A9</f>
        <v>X:</v>
      </c>
      <c r="D47" s="1" t="str">
        <f t="shared" si="4"/>
        <v>CONVERSE</v>
      </c>
      <c r="E47" s="1" t="str">
        <f t="shared" si="0"/>
        <v>X:\RUM's\CONVERSE</v>
      </c>
      <c r="F47" s="12" t="s">
        <v>73</v>
      </c>
      <c r="H47" s="1" t="str">
        <f t="shared" si="5"/>
        <v>MIZUNO</v>
      </c>
      <c r="I47" s="1" t="str">
        <f t="shared" si="10"/>
        <v>X:\AB\MIZUNO</v>
      </c>
      <c r="J47" s="12" t="s">
        <v>353</v>
      </c>
      <c r="L47" s="1" t="str">
        <f t="shared" si="6"/>
        <v>VANS</v>
      </c>
      <c r="M47" s="1" t="str">
        <f t="shared" si="2"/>
        <v>X:\SCK\VANS</v>
      </c>
      <c r="N47" s="12" t="s">
        <v>429</v>
      </c>
      <c r="T47" s="1" t="str">
        <f t="shared" si="8"/>
        <v>BRAVADO</v>
      </c>
      <c r="U47" s="1" t="str">
        <f t="shared" si="9"/>
        <v>X:\@APPAREL FOR ALL\BRAVADO</v>
      </c>
      <c r="V47" s="12" t="s">
        <v>505</v>
      </c>
    </row>
    <row r="48" spans="2:22" x14ac:dyDescent="0.25">
      <c r="B48" s="1" t="str">
        <f>A9</f>
        <v>X:</v>
      </c>
      <c r="D48" s="1" t="str">
        <f t="shared" si="4"/>
        <v>CREATIVE RECREATION</v>
      </c>
      <c r="E48" s="1" t="str">
        <f t="shared" si="0"/>
        <v>X:\RUM's\CREATIVE RECREATION</v>
      </c>
      <c r="F48" s="12" t="s">
        <v>74</v>
      </c>
      <c r="H48" s="1" t="str">
        <f t="shared" si="5"/>
        <v>NATIVE</v>
      </c>
      <c r="I48" s="1" t="str">
        <f t="shared" si="10"/>
        <v>X:\AB\NATIVE</v>
      </c>
      <c r="J48" s="12" t="s">
        <v>354</v>
      </c>
      <c r="L48" s="1" t="str">
        <f t="shared" si="6"/>
        <v>VIONIC</v>
      </c>
      <c r="M48" s="1" t="str">
        <f t="shared" si="2"/>
        <v>X:\SCK\VIONIC</v>
      </c>
      <c r="N48" s="12" t="s">
        <v>430</v>
      </c>
      <c r="T48" s="1" t="str">
        <f t="shared" si="8"/>
        <v>BROOKLYN PROJECTS</v>
      </c>
      <c r="U48" s="1" t="str">
        <f t="shared" si="9"/>
        <v>X:\@APPAREL FOR ALL\BROOKLYN PROJECTS</v>
      </c>
      <c r="V48" s="12" t="s">
        <v>506</v>
      </c>
    </row>
    <row r="49" spans="2:22" x14ac:dyDescent="0.25">
      <c r="B49" s="1" t="str">
        <f>A9</f>
        <v>X:</v>
      </c>
      <c r="D49" s="1" t="str">
        <f t="shared" si="4"/>
        <v>CROCS</v>
      </c>
      <c r="E49" s="1" t="str">
        <f t="shared" si="0"/>
        <v>X:\RUM's\CROCS</v>
      </c>
      <c r="F49" s="12" t="s">
        <v>75</v>
      </c>
      <c r="H49" s="1" t="str">
        <f t="shared" si="5"/>
        <v>NEW BALANCE</v>
      </c>
      <c r="I49" s="1" t="str">
        <f t="shared" si="10"/>
        <v>X:\AB\NEW BALANCE</v>
      </c>
      <c r="J49" s="12" t="s">
        <v>355</v>
      </c>
      <c r="L49" s="1" t="str">
        <f t="shared" si="6"/>
        <v>ZOOLIGANS</v>
      </c>
      <c r="M49" s="1" t="str">
        <f t="shared" si="2"/>
        <v>X:\SCK\ZOOLIGANS</v>
      </c>
      <c r="N49" s="12" t="s">
        <v>431</v>
      </c>
      <c r="T49" s="1" t="str">
        <f t="shared" si="8"/>
        <v>BROOKS</v>
      </c>
      <c r="U49" s="1" t="str">
        <f t="shared" si="9"/>
        <v>X:\@APPAREL FOR ALL\BROOKS</v>
      </c>
      <c r="V49" s="12" t="s">
        <v>507</v>
      </c>
    </row>
    <row r="50" spans="2:22" x14ac:dyDescent="0.25">
      <c r="B50" s="1" t="str">
        <f>A9</f>
        <v>X:</v>
      </c>
      <c r="D50" s="1" t="str">
        <f t="shared" si="4"/>
        <v>CROSS COLOURS</v>
      </c>
      <c r="E50" s="1" t="str">
        <f t="shared" si="0"/>
        <v>X:\RUM's\CROSS COLOURS</v>
      </c>
      <c r="F50" s="12" t="s">
        <v>76</v>
      </c>
      <c r="H50" s="1" t="str">
        <f t="shared" si="5"/>
        <v>NIKE</v>
      </c>
      <c r="I50" s="1" t="str">
        <f t="shared" si="10"/>
        <v>X:\AB\NIKE</v>
      </c>
      <c r="J50" s="12" t="s">
        <v>356</v>
      </c>
      <c r="T50" s="1" t="str">
        <f t="shared" si="8"/>
        <v>BUFF</v>
      </c>
      <c r="U50" s="1" t="str">
        <f t="shared" si="9"/>
        <v>X:\@APPAREL FOR ALL\BUFF</v>
      </c>
      <c r="V50" s="12" t="s">
        <v>508</v>
      </c>
    </row>
    <row r="51" spans="2:22" x14ac:dyDescent="0.25">
      <c r="B51" s="1" t="str">
        <f>A9</f>
        <v>X:</v>
      </c>
      <c r="D51" s="1" t="str">
        <f t="shared" si="4"/>
        <v>CUTEYS</v>
      </c>
      <c r="E51" s="1" t="str">
        <f t="shared" si="0"/>
        <v>X:\RUM's\CUTEYS</v>
      </c>
      <c r="F51" s="12" t="s">
        <v>77</v>
      </c>
      <c r="H51" s="1" t="str">
        <f t="shared" si="5"/>
        <v>NORTH FACE</v>
      </c>
      <c r="I51" s="1" t="str">
        <f t="shared" si="10"/>
        <v>X:\AB\NORTH FACE</v>
      </c>
      <c r="J51" s="12" t="s">
        <v>357</v>
      </c>
      <c r="T51" s="1" t="str">
        <f t="shared" si="8"/>
        <v>CALVIN KLEIN</v>
      </c>
      <c r="U51" s="1" t="str">
        <f t="shared" si="9"/>
        <v>X:\@APPAREL FOR ALL\CALVIN KLEIN</v>
      </c>
      <c r="V51" s="12" t="s">
        <v>509</v>
      </c>
    </row>
    <row r="52" spans="2:22" x14ac:dyDescent="0.25">
      <c r="B52" s="1" t="str">
        <f>A9</f>
        <v>X:</v>
      </c>
      <c r="D52" s="1" t="str">
        <f t="shared" si="4"/>
        <v>DADA</v>
      </c>
      <c r="E52" s="1" t="str">
        <f t="shared" si="0"/>
        <v>X:\RUM's\DADA</v>
      </c>
      <c r="F52" s="12" t="s">
        <v>78</v>
      </c>
      <c r="H52" s="1" t="str">
        <f t="shared" si="5"/>
        <v>ON</v>
      </c>
      <c r="I52" s="1" t="str">
        <f t="shared" si="10"/>
        <v>X:\AB\ON</v>
      </c>
      <c r="J52" s="12" t="s">
        <v>358</v>
      </c>
      <c r="T52" s="1" t="str">
        <f t="shared" si="8"/>
        <v>CAMELBAK</v>
      </c>
      <c r="U52" s="1" t="str">
        <f t="shared" si="9"/>
        <v>X:\@APPAREL FOR ALL\CAMELBAK</v>
      </c>
      <c r="V52" s="12" t="s">
        <v>510</v>
      </c>
    </row>
    <row r="53" spans="2:22" x14ac:dyDescent="0.25">
      <c r="B53" s="1" t="str">
        <f>A9</f>
        <v>X:</v>
      </c>
      <c r="D53" s="1" t="str">
        <f t="shared" si="4"/>
        <v>DADAWEN</v>
      </c>
      <c r="E53" s="1" t="str">
        <f t="shared" si="0"/>
        <v>X:\RUM's\DADAWEN</v>
      </c>
      <c r="F53" s="12" t="s">
        <v>79</v>
      </c>
      <c r="H53" s="1" t="str">
        <f t="shared" si="5"/>
        <v>ONEMIX</v>
      </c>
      <c r="I53" s="1" t="str">
        <f t="shared" si="10"/>
        <v>X:\AB\ONEMIX</v>
      </c>
      <c r="J53" s="12" t="s">
        <v>359</v>
      </c>
      <c r="T53" s="1" t="str">
        <f t="shared" si="8"/>
        <v>CAMP DAVID</v>
      </c>
      <c r="U53" s="1" t="str">
        <f t="shared" si="9"/>
        <v>X:\@APPAREL FOR ALL\CAMP DAVID</v>
      </c>
      <c r="V53" s="12" t="s">
        <v>511</v>
      </c>
    </row>
    <row r="54" spans="2:22" x14ac:dyDescent="0.25">
      <c r="B54" s="1" t="str">
        <f>A9</f>
        <v>X:</v>
      </c>
      <c r="D54" s="1" t="str">
        <f t="shared" si="4"/>
        <v>DADDY'S $</v>
      </c>
      <c r="E54" s="1" t="str">
        <f t="shared" si="0"/>
        <v>X:\RUM's\DADDY'S $</v>
      </c>
      <c r="F54" s="12" t="s">
        <v>80</v>
      </c>
      <c r="H54" s="1" t="str">
        <f t="shared" si="5"/>
        <v>OOFOS</v>
      </c>
      <c r="I54" s="1" t="str">
        <f t="shared" si="10"/>
        <v>X:\AB\OOFOS</v>
      </c>
      <c r="J54" s="12" t="s">
        <v>360</v>
      </c>
      <c r="T54" s="1" t="str">
        <f t="shared" si="8"/>
        <v>CAPABLES</v>
      </c>
      <c r="U54" s="1" t="str">
        <f t="shared" si="9"/>
        <v>X:\@APPAREL FOR ALL\CAPABLES</v>
      </c>
      <c r="V54" s="12" t="s">
        <v>512</v>
      </c>
    </row>
    <row r="55" spans="2:22" x14ac:dyDescent="0.25">
      <c r="B55" s="1" t="str">
        <f>A9</f>
        <v>X:</v>
      </c>
      <c r="D55" s="1" t="str">
        <f t="shared" si="4"/>
        <v>DAKOTA</v>
      </c>
      <c r="E55" s="1" t="str">
        <f t="shared" si="0"/>
        <v>X:\RUM's\DAKOTA</v>
      </c>
      <c r="F55" s="12" t="s">
        <v>81</v>
      </c>
      <c r="H55" s="1" t="str">
        <f t="shared" si="5"/>
        <v>OSIRIS</v>
      </c>
      <c r="I55" s="1" t="str">
        <f t="shared" si="10"/>
        <v>X:\AB\OSIRIS</v>
      </c>
      <c r="J55" s="12" t="s">
        <v>361</v>
      </c>
      <c r="T55" s="1" t="str">
        <f t="shared" si="8"/>
        <v>CAPEZIO</v>
      </c>
      <c r="U55" s="1" t="str">
        <f t="shared" si="9"/>
        <v>X:\@APPAREL FOR ALL\CAPEZIO</v>
      </c>
      <c r="V55" s="12" t="s">
        <v>513</v>
      </c>
    </row>
    <row r="56" spans="2:22" x14ac:dyDescent="0.25">
      <c r="B56" s="1" t="str">
        <f>A9</f>
        <v>X:</v>
      </c>
      <c r="D56" s="1" t="str">
        <f t="shared" si="4"/>
        <v>DANNER</v>
      </c>
      <c r="E56" s="1" t="str">
        <f t="shared" si="0"/>
        <v>X:\RUM's\DANNER</v>
      </c>
      <c r="F56" s="12" t="s">
        <v>82</v>
      </c>
      <c r="H56" s="1" t="str">
        <f t="shared" si="5"/>
        <v>OTZ</v>
      </c>
      <c r="I56" s="1" t="str">
        <f t="shared" si="10"/>
        <v>X:\AB\OTZ</v>
      </c>
      <c r="J56" s="12" t="s">
        <v>362</v>
      </c>
      <c r="T56" s="1" t="str">
        <f t="shared" si="8"/>
        <v>CARROTS</v>
      </c>
      <c r="U56" s="1" t="str">
        <f t="shared" si="9"/>
        <v>X:\@APPAREL FOR ALL\CARROTS</v>
      </c>
      <c r="V56" s="12" t="s">
        <v>514</v>
      </c>
    </row>
    <row r="57" spans="2:22" x14ac:dyDescent="0.25">
      <c r="B57" s="1" t="str">
        <f>A9</f>
        <v>X:</v>
      </c>
      <c r="D57" s="1" t="str">
        <f t="shared" si="4"/>
        <v>DANSKIN</v>
      </c>
      <c r="E57" s="1" t="str">
        <f t="shared" si="0"/>
        <v>X:\RUM's\DANSKIN</v>
      </c>
      <c r="F57" s="12" t="s">
        <v>83</v>
      </c>
      <c r="H57" s="1" t="str">
        <f t="shared" si="5"/>
        <v>PAPILLIO</v>
      </c>
      <c r="I57" s="1" t="str">
        <f t="shared" si="10"/>
        <v>X:\AB\PAPILLIO</v>
      </c>
      <c r="J57" s="12" t="s">
        <v>363</v>
      </c>
      <c r="T57" s="1" t="str">
        <f t="shared" si="8"/>
        <v>CASIO</v>
      </c>
      <c r="U57" s="1" t="str">
        <f t="shared" si="9"/>
        <v>X:\@APPAREL FOR ALL\CASIO</v>
      </c>
      <c r="V57" s="12" t="s">
        <v>515</v>
      </c>
    </row>
    <row r="58" spans="2:22" x14ac:dyDescent="0.25">
      <c r="B58" s="1" t="str">
        <f>A9</f>
        <v>X:</v>
      </c>
      <c r="D58" s="1" t="str">
        <f t="shared" si="4"/>
        <v>DANSKO</v>
      </c>
      <c r="E58" s="1" t="str">
        <f t="shared" si="0"/>
        <v>X:\RUM's\DANSKO</v>
      </c>
      <c r="F58" s="12" t="s">
        <v>84</v>
      </c>
      <c r="H58" s="1" t="str">
        <f t="shared" si="5"/>
        <v>PUMA</v>
      </c>
      <c r="I58" s="1" t="str">
        <f t="shared" si="10"/>
        <v>X:\AB\PUMA</v>
      </c>
      <c r="J58" s="12" t="s">
        <v>364</v>
      </c>
      <c r="T58" s="1" t="str">
        <f t="shared" si="8"/>
        <v>CCM</v>
      </c>
      <c r="U58" s="1" t="str">
        <f t="shared" si="9"/>
        <v>X:\@APPAREL FOR ALL\CCM</v>
      </c>
      <c r="V58" s="12" t="s">
        <v>516</v>
      </c>
    </row>
    <row r="59" spans="2:22" x14ac:dyDescent="0.25">
      <c r="B59" s="1" t="str">
        <f>A9</f>
        <v>X:</v>
      </c>
      <c r="D59" s="1" t="str">
        <f t="shared" si="4"/>
        <v>DAWGS</v>
      </c>
      <c r="E59" s="1" t="str">
        <f t="shared" si="0"/>
        <v>X:\RUM's\DAWGS</v>
      </c>
      <c r="F59" s="12" t="s">
        <v>85</v>
      </c>
      <c r="H59" s="1" t="str">
        <f t="shared" si="5"/>
        <v>RED WING</v>
      </c>
      <c r="I59" s="1" t="str">
        <f t="shared" si="10"/>
        <v>X:\AB\RED WING</v>
      </c>
      <c r="J59" s="12" t="s">
        <v>365</v>
      </c>
      <c r="T59" s="1" t="str">
        <f t="shared" si="8"/>
        <v>CELEBRITY PINK</v>
      </c>
      <c r="U59" s="1" t="str">
        <f t="shared" si="9"/>
        <v>X:\@APPAREL FOR ALL\CELEBRITY PINK</v>
      </c>
      <c r="V59" s="12" t="s">
        <v>517</v>
      </c>
    </row>
    <row r="60" spans="2:22" x14ac:dyDescent="0.25">
      <c r="B60" s="1" t="str">
        <f>A9</f>
        <v>X:</v>
      </c>
      <c r="D60" s="1" t="str">
        <f t="shared" si="4"/>
        <v>DC</v>
      </c>
      <c r="E60" s="1" t="str">
        <f t="shared" si="0"/>
        <v>X:\RUM's\DC</v>
      </c>
      <c r="F60" s="12" t="s">
        <v>86</v>
      </c>
      <c r="H60" s="1" t="str">
        <f t="shared" si="5"/>
        <v>REEBOK</v>
      </c>
      <c r="I60" s="1" t="str">
        <f t="shared" si="10"/>
        <v>X:\AB\REEBOK</v>
      </c>
      <c r="J60" s="12" t="s">
        <v>366</v>
      </c>
      <c r="T60" s="1" t="str">
        <f t="shared" si="8"/>
        <v>CELLO</v>
      </c>
      <c r="U60" s="1" t="str">
        <f t="shared" si="9"/>
        <v>X:\@APPAREL FOR ALL\CELLO</v>
      </c>
      <c r="V60" s="12" t="s">
        <v>518</v>
      </c>
    </row>
    <row r="61" spans="2:22" x14ac:dyDescent="0.25">
      <c r="B61" s="1" t="str">
        <f>A9</f>
        <v>X:</v>
      </c>
      <c r="D61" s="1" t="str">
        <f t="shared" si="4"/>
        <v>DE LUCA</v>
      </c>
      <c r="E61" s="1" t="str">
        <f t="shared" si="0"/>
        <v>X:\RUM's\DE LUCA</v>
      </c>
      <c r="F61" s="12" t="s">
        <v>87</v>
      </c>
      <c r="H61" s="1" t="str">
        <f t="shared" si="5"/>
        <v>REEF</v>
      </c>
      <c r="I61" s="1" t="str">
        <f t="shared" si="10"/>
        <v>X:\AB\REEF</v>
      </c>
      <c r="J61" s="12" t="s">
        <v>367</v>
      </c>
      <c r="T61" s="1" t="str">
        <f t="shared" si="8"/>
        <v>CEP</v>
      </c>
      <c r="U61" s="1" t="str">
        <f t="shared" si="9"/>
        <v>X:\@APPAREL FOR ALL\CEP</v>
      </c>
      <c r="V61" s="12" t="s">
        <v>519</v>
      </c>
    </row>
    <row r="62" spans="2:22" x14ac:dyDescent="0.25">
      <c r="B62" s="1" t="str">
        <f>A9</f>
        <v>X:</v>
      </c>
      <c r="D62" s="1" t="str">
        <f t="shared" si="4"/>
        <v>DEB</v>
      </c>
      <c r="E62" s="1" t="str">
        <f t="shared" si="0"/>
        <v>X:\RUM's\DEB</v>
      </c>
      <c r="F62" s="12" t="s">
        <v>88</v>
      </c>
      <c r="H62" s="1" t="str">
        <f t="shared" si="5"/>
        <v>ROCKETDOG</v>
      </c>
      <c r="I62" s="1" t="str">
        <f t="shared" si="10"/>
        <v>X:\AB\ROCKETDOG</v>
      </c>
      <c r="J62" s="12" t="s">
        <v>368</v>
      </c>
      <c r="T62" s="1" t="str">
        <f t="shared" si="8"/>
        <v>CHALA</v>
      </c>
      <c r="U62" s="1" t="str">
        <f t="shared" si="9"/>
        <v>X:\@APPAREL FOR ALL\CHALA</v>
      </c>
      <c r="V62" s="12" t="s">
        <v>520</v>
      </c>
    </row>
    <row r="63" spans="2:22" x14ac:dyDescent="0.25">
      <c r="B63" s="1" t="str">
        <f>A9</f>
        <v>X:</v>
      </c>
      <c r="D63" s="1" t="str">
        <f t="shared" si="4"/>
        <v>DEER STAGS</v>
      </c>
      <c r="E63" s="1" t="str">
        <f t="shared" si="0"/>
        <v>X:\RUM's\DEER STAGS</v>
      </c>
      <c r="F63" s="12" t="s">
        <v>89</v>
      </c>
      <c r="H63" s="1" t="str">
        <f t="shared" si="5"/>
        <v>SALOMON</v>
      </c>
      <c r="I63" s="1" t="str">
        <f t="shared" si="10"/>
        <v>X:\AB\SALOMON</v>
      </c>
      <c r="J63" s="12" t="s">
        <v>369</v>
      </c>
      <c r="T63" s="1" t="str">
        <f t="shared" si="8"/>
        <v>CHAMPION</v>
      </c>
      <c r="U63" s="1" t="str">
        <f t="shared" si="9"/>
        <v>X:\@APPAREL FOR ALL\CHAMPION</v>
      </c>
      <c r="V63" s="12" t="s">
        <v>521</v>
      </c>
    </row>
    <row r="64" spans="2:22" x14ac:dyDescent="0.25">
      <c r="B64" s="1" t="str">
        <f>A9</f>
        <v>X:</v>
      </c>
      <c r="D64" s="1" t="str">
        <f t="shared" si="4"/>
        <v>DIADORA</v>
      </c>
      <c r="E64" s="1" t="str">
        <f t="shared" si="0"/>
        <v>X:\RUM's\DIADORA</v>
      </c>
      <c r="F64" s="12" t="s">
        <v>90</v>
      </c>
      <c r="H64" s="1" t="str">
        <f t="shared" si="5"/>
        <v>SANUK</v>
      </c>
      <c r="I64" s="1" t="str">
        <f t="shared" si="10"/>
        <v>X:\AB\SANUK</v>
      </c>
      <c r="J64" s="12" t="s">
        <v>370</v>
      </c>
      <c r="T64" s="1" t="str">
        <f t="shared" si="8"/>
        <v>CHINATOWN MARKET</v>
      </c>
      <c r="U64" s="1" t="str">
        <f t="shared" si="9"/>
        <v>X:\@APPAREL FOR ALL\CHINATOWN MARKET</v>
      </c>
      <c r="V64" s="12" t="s">
        <v>522</v>
      </c>
    </row>
    <row r="65" spans="2:22" x14ac:dyDescent="0.25">
      <c r="B65" s="1" t="str">
        <f>A9</f>
        <v>X:</v>
      </c>
      <c r="D65" s="1" t="str">
        <f t="shared" si="4"/>
        <v>DICKIES</v>
      </c>
      <c r="E65" s="1" t="str">
        <f t="shared" si="0"/>
        <v>X:\RUM's\DICKIES</v>
      </c>
      <c r="F65" s="12" t="s">
        <v>91</v>
      </c>
      <c r="H65" s="1" t="str">
        <f t="shared" si="5"/>
        <v>SAUCONY</v>
      </c>
      <c r="I65" s="1" t="str">
        <f t="shared" si="10"/>
        <v>X:\AB\SAUCONY</v>
      </c>
      <c r="J65" s="12" t="s">
        <v>371</v>
      </c>
      <c r="T65" s="1" t="str">
        <f t="shared" si="8"/>
        <v>CHO-PAT</v>
      </c>
      <c r="U65" s="1" t="str">
        <f t="shared" si="9"/>
        <v>X:\@APPAREL FOR ALL\CHO-PAT</v>
      </c>
      <c r="V65" s="12" t="s">
        <v>523</v>
      </c>
    </row>
    <row r="66" spans="2:22" x14ac:dyDescent="0.25">
      <c r="B66" s="1" t="str">
        <f>A9</f>
        <v>X:</v>
      </c>
      <c r="D66" s="1" t="str">
        <f t="shared" si="4"/>
        <v>DIE HARD</v>
      </c>
      <c r="E66" s="1" t="str">
        <f t="shared" ref="E66:E129" si="11">CONCATENATE(B66,F66)</f>
        <v>X:\RUM's\DIE HARD</v>
      </c>
      <c r="F66" s="12" t="s">
        <v>92</v>
      </c>
      <c r="H66" s="1" t="str">
        <f t="shared" si="5"/>
        <v>SEE KAI RUN</v>
      </c>
      <c r="I66" s="1" t="str">
        <f t="shared" ref="I66:I71" si="12">CONCATENATE(B66,J66)</f>
        <v>X:\AB\SEE KAI RUN</v>
      </c>
      <c r="J66" s="12" t="s">
        <v>372</v>
      </c>
      <c r="T66" s="1" t="str">
        <f t="shared" si="8"/>
        <v>CIRCA</v>
      </c>
      <c r="U66" s="1" t="str">
        <f t="shared" si="9"/>
        <v>X:\@APPAREL FOR ALL\CIRCA</v>
      </c>
      <c r="V66" s="12" t="s">
        <v>524</v>
      </c>
    </row>
    <row r="67" spans="2:22" x14ac:dyDescent="0.25">
      <c r="B67" s="1" t="str">
        <f>A9</f>
        <v>X:</v>
      </c>
      <c r="D67" s="1" t="str">
        <f t="shared" ref="D67:D130" si="13">SUBSTITUTE(E67,B67 &amp; "\RUM's\","")</f>
        <v>DIESEL</v>
      </c>
      <c r="E67" s="1" t="str">
        <f t="shared" si="11"/>
        <v>X:\RUM's\DIESEL</v>
      </c>
      <c r="F67" s="12" t="s">
        <v>93</v>
      </c>
      <c r="H67" s="1" t="str">
        <f t="shared" ref="H67:H77" si="14">SUBSTITUTE(I67,B67 &amp; "\AB\","")</f>
        <v>SKECHERS</v>
      </c>
      <c r="I67" s="1" t="str">
        <f t="shared" si="12"/>
        <v>X:\AB\SKECHERS</v>
      </c>
      <c r="J67" s="12" t="s">
        <v>373</v>
      </c>
      <c r="T67" s="1" t="str">
        <f t="shared" ref="T67:T130" si="15">SUBSTITUTE(U67,B67 &amp; "\@APPAREL FOR ALL\","")</f>
        <v>CLASSIC</v>
      </c>
      <c r="U67" s="1" t="str">
        <f t="shared" ref="U67:U130" si="16">CONCATENATE(B67,V67)</f>
        <v>X:\@APPAREL FOR ALL\CLASSIC</v>
      </c>
      <c r="V67" s="12" t="s">
        <v>525</v>
      </c>
    </row>
    <row r="68" spans="2:22" x14ac:dyDescent="0.25">
      <c r="B68" s="1" t="str">
        <f>A9</f>
        <v>X:</v>
      </c>
      <c r="D68" s="1" t="str">
        <f t="shared" si="13"/>
        <v>DKNY</v>
      </c>
      <c r="E68" s="1" t="str">
        <f t="shared" si="11"/>
        <v>X:\RUM's\DKNY</v>
      </c>
      <c r="F68" s="12" t="s">
        <v>94</v>
      </c>
      <c r="H68" s="1" t="str">
        <f t="shared" si="14"/>
        <v>SOLUDOS</v>
      </c>
      <c r="I68" s="1" t="str">
        <f t="shared" si="12"/>
        <v>X:\AB\SOLUDOS</v>
      </c>
      <c r="J68" s="12" t="s">
        <v>374</v>
      </c>
      <c r="T68" s="1" t="str">
        <f t="shared" si="15"/>
        <v>CLASSY</v>
      </c>
      <c r="U68" s="1" t="str">
        <f t="shared" si="16"/>
        <v>X:\@APPAREL FOR ALL\CLASSY</v>
      </c>
      <c r="V68" s="12" t="s">
        <v>526</v>
      </c>
    </row>
    <row r="69" spans="2:22" x14ac:dyDescent="0.25">
      <c r="B69" s="1" t="str">
        <f>A9</f>
        <v>X:</v>
      </c>
      <c r="D69" s="1" t="str">
        <f t="shared" si="13"/>
        <v>DOCKERS</v>
      </c>
      <c r="E69" s="1" t="str">
        <f t="shared" si="11"/>
        <v>X:\RUM's\DOCKERS</v>
      </c>
      <c r="F69" s="12" t="s">
        <v>95</v>
      </c>
      <c r="H69" s="1" t="str">
        <f t="shared" si="14"/>
        <v>SOREL</v>
      </c>
      <c r="I69" s="1" t="str">
        <f t="shared" si="12"/>
        <v>X:\AB\SOREL</v>
      </c>
      <c r="J69" s="12" t="s">
        <v>375</v>
      </c>
      <c r="T69" s="1" t="str">
        <f t="shared" si="15"/>
        <v>CLSC</v>
      </c>
      <c r="U69" s="1" t="str">
        <f t="shared" si="16"/>
        <v>X:\@APPAREL FOR ALL\CLSC</v>
      </c>
      <c r="V69" s="12" t="s">
        <v>527</v>
      </c>
    </row>
    <row r="70" spans="2:22" x14ac:dyDescent="0.25">
      <c r="B70" s="1" t="str">
        <f>A9</f>
        <v>X:</v>
      </c>
      <c r="D70" s="1" t="str">
        <f t="shared" si="13"/>
        <v>DOLCE VITA</v>
      </c>
      <c r="E70" s="1" t="str">
        <f t="shared" si="11"/>
        <v>X:\RUM's\DOLCE VITA</v>
      </c>
      <c r="F70" s="12" t="s">
        <v>96</v>
      </c>
      <c r="H70" s="1" t="str">
        <f t="shared" si="14"/>
        <v>SPIRA</v>
      </c>
      <c r="I70" s="1" t="str">
        <f t="shared" si="12"/>
        <v>X:\AB\SPIRA</v>
      </c>
      <c r="J70" s="12" t="s">
        <v>376</v>
      </c>
      <c r="T70" s="1" t="str">
        <f t="shared" si="15"/>
        <v>COCA COLA</v>
      </c>
      <c r="U70" s="1" t="str">
        <f t="shared" si="16"/>
        <v>X:\@APPAREL FOR ALL\COCA COLA</v>
      </c>
      <c r="V70" s="12" t="s">
        <v>528</v>
      </c>
    </row>
    <row r="71" spans="2:22" x14ac:dyDescent="0.25">
      <c r="B71" s="1" t="str">
        <f>A9</f>
        <v>X:</v>
      </c>
      <c r="D71" s="1" t="str">
        <f t="shared" si="13"/>
        <v>DOMBA</v>
      </c>
      <c r="E71" s="1" t="str">
        <f t="shared" si="11"/>
        <v>X:\RUM's\DOMBA</v>
      </c>
      <c r="F71" s="12" t="s">
        <v>97</v>
      </c>
      <c r="H71" s="1" t="str">
        <f t="shared" si="14"/>
        <v>SUPRA</v>
      </c>
      <c r="I71" s="1" t="str">
        <f t="shared" si="12"/>
        <v>X:\AB\SUPRA</v>
      </c>
      <c r="J71" t="s">
        <v>377</v>
      </c>
      <c r="T71" s="1" t="str">
        <f t="shared" si="15"/>
        <v>COLLEGE CONCEPTS</v>
      </c>
      <c r="U71" s="1" t="str">
        <f t="shared" si="16"/>
        <v>X:\@APPAREL FOR ALL\COLLEGE CONCEPTS</v>
      </c>
      <c r="V71" s="12" t="s">
        <v>529</v>
      </c>
    </row>
    <row r="72" spans="2:22" x14ac:dyDescent="0.25">
      <c r="B72" s="1" t="str">
        <f>A9</f>
        <v>X:</v>
      </c>
      <c r="D72" s="1" t="str">
        <f t="shared" si="13"/>
        <v>DR MARTENS</v>
      </c>
      <c r="E72" s="1" t="str">
        <f t="shared" si="11"/>
        <v>X:\RUM's\DR MARTENS</v>
      </c>
      <c r="F72" s="12" t="s">
        <v>98</v>
      </c>
      <c r="H72" s="1" t="str">
        <f t="shared" si="14"/>
        <v>TIMBERLAND</v>
      </c>
      <c r="I72" s="1" t="str">
        <f t="shared" ref="I72:I77" si="17">CONCATENATE(B72,J72)</f>
        <v>X:\AB\TIMBERLAND</v>
      </c>
      <c r="J72" t="s">
        <v>378</v>
      </c>
      <c r="T72" s="1" t="str">
        <f t="shared" si="15"/>
        <v>COLOSSEUM</v>
      </c>
      <c r="U72" s="1" t="str">
        <f t="shared" si="16"/>
        <v>X:\@APPAREL FOR ALL\COLOSSEUM</v>
      </c>
      <c r="V72" s="12" t="s">
        <v>530</v>
      </c>
    </row>
    <row r="73" spans="2:22" x14ac:dyDescent="0.25">
      <c r="B73" s="1" t="str">
        <f>A9</f>
        <v>X:</v>
      </c>
      <c r="D73" s="1" t="str">
        <f t="shared" si="13"/>
        <v>DR SCHOLL'S</v>
      </c>
      <c r="E73" s="1" t="str">
        <f t="shared" si="11"/>
        <v>X:\RUM's\DR SCHOLL'S</v>
      </c>
      <c r="F73" s="12" t="s">
        <v>99</v>
      </c>
      <c r="H73" s="1" t="str">
        <f t="shared" si="14"/>
        <v>TOMS</v>
      </c>
      <c r="I73" s="1" t="str">
        <f t="shared" si="17"/>
        <v>X:\AB\TOMS</v>
      </c>
      <c r="J73" t="s">
        <v>379</v>
      </c>
      <c r="T73" s="1" t="str">
        <f t="shared" si="15"/>
        <v>COLUMBIA</v>
      </c>
      <c r="U73" s="1" t="str">
        <f t="shared" si="16"/>
        <v>X:\@APPAREL FOR ALL\COLUMBIA</v>
      </c>
      <c r="V73" s="12" t="s">
        <v>531</v>
      </c>
    </row>
    <row r="74" spans="2:22" x14ac:dyDescent="0.25">
      <c r="B74" s="1" t="str">
        <f>A9</f>
        <v>X:</v>
      </c>
      <c r="D74" s="1" t="str">
        <f t="shared" si="13"/>
        <v>DREAM PAIRS</v>
      </c>
      <c r="E74" s="1" t="str">
        <f t="shared" si="11"/>
        <v>X:\RUM's\DREAM PAIRS</v>
      </c>
      <c r="F74" s="12" t="s">
        <v>100</v>
      </c>
      <c r="H74" s="1" t="str">
        <f t="shared" si="14"/>
        <v>TOPO</v>
      </c>
      <c r="I74" s="1" t="str">
        <f t="shared" si="17"/>
        <v>X:\AB\TOPO</v>
      </c>
      <c r="J74" t="s">
        <v>380</v>
      </c>
      <c r="T74" s="1" t="str">
        <f t="shared" si="15"/>
        <v>CONDOR</v>
      </c>
      <c r="U74" s="1" t="str">
        <f t="shared" si="16"/>
        <v>X:\@APPAREL FOR ALL\CONDOR</v>
      </c>
      <c r="V74" s="12" t="s">
        <v>532</v>
      </c>
    </row>
    <row r="75" spans="2:22" x14ac:dyDescent="0.25">
      <c r="B75" s="1" t="str">
        <f>A9</f>
        <v>X:</v>
      </c>
      <c r="D75" s="1" t="str">
        <f t="shared" si="13"/>
        <v>DREW</v>
      </c>
      <c r="E75" s="1" t="str">
        <f t="shared" si="11"/>
        <v>X:\RUM's\DREW</v>
      </c>
      <c r="F75" s="12" t="s">
        <v>101</v>
      </c>
      <c r="H75" s="1" t="str">
        <f t="shared" si="14"/>
        <v>UNDER ARMOUR</v>
      </c>
      <c r="I75" s="1" t="str">
        <f t="shared" si="17"/>
        <v>X:\AB\UNDER ARMOUR</v>
      </c>
      <c r="J75" t="s">
        <v>381</v>
      </c>
      <c r="T75" s="1" t="str">
        <f t="shared" si="15"/>
        <v>CONVERSE</v>
      </c>
      <c r="U75" s="1" t="str">
        <f t="shared" si="16"/>
        <v>X:\@APPAREL FOR ALL\CONVERSE</v>
      </c>
      <c r="V75" s="12" t="s">
        <v>533</v>
      </c>
    </row>
    <row r="76" spans="2:22" x14ac:dyDescent="0.25">
      <c r="B76" s="1" t="str">
        <f>A9</f>
        <v>X:</v>
      </c>
      <c r="D76" s="1" t="str">
        <f t="shared" si="13"/>
        <v>DRIVER CLUB</v>
      </c>
      <c r="E76" s="1" t="str">
        <f t="shared" si="11"/>
        <v>X:\RUM's\DRIVER CLUB</v>
      </c>
      <c r="F76" s="12" t="s">
        <v>102</v>
      </c>
      <c r="H76" s="1" t="str">
        <f t="shared" si="14"/>
        <v>VANS</v>
      </c>
      <c r="I76" s="1" t="str">
        <f t="shared" si="17"/>
        <v>X:\AB\VANS</v>
      </c>
      <c r="J76" t="s">
        <v>382</v>
      </c>
      <c r="T76" s="1" t="str">
        <f t="shared" si="15"/>
        <v>COOL WEAR</v>
      </c>
      <c r="U76" s="1" t="str">
        <f t="shared" si="16"/>
        <v>X:\@APPAREL FOR ALL\COOL WEAR</v>
      </c>
      <c r="V76" s="12" t="s">
        <v>534</v>
      </c>
    </row>
    <row r="77" spans="2:22" x14ac:dyDescent="0.25">
      <c r="B77" s="1" t="str">
        <f>A9</f>
        <v>X:</v>
      </c>
      <c r="D77" s="1" t="str">
        <f t="shared" si="13"/>
        <v>DUNHAM</v>
      </c>
      <c r="E77" s="1" t="str">
        <f t="shared" si="11"/>
        <v>X:\RUM's\DUNHAM</v>
      </c>
      <c r="F77" s="12" t="s">
        <v>103</v>
      </c>
      <c r="H77" s="1" t="str">
        <f t="shared" si="14"/>
        <v>VIONIC</v>
      </c>
      <c r="I77" s="1" t="str">
        <f t="shared" si="17"/>
        <v>X:\AB\VIONIC</v>
      </c>
      <c r="J77" t="s">
        <v>383</v>
      </c>
      <c r="T77" s="1" t="str">
        <f t="shared" si="15"/>
        <v>CORE STRETCH</v>
      </c>
      <c r="U77" s="1" t="str">
        <f t="shared" si="16"/>
        <v>X:\@APPAREL FOR ALL\CORE STRETCH</v>
      </c>
      <c r="V77" s="12" t="s">
        <v>535</v>
      </c>
    </row>
    <row r="78" spans="2:22" x14ac:dyDescent="0.25">
      <c r="B78" s="1" t="str">
        <f>A9</f>
        <v>X:</v>
      </c>
      <c r="D78" s="1" t="str">
        <f t="shared" si="13"/>
        <v>DVS</v>
      </c>
      <c r="E78" s="1" t="str">
        <f t="shared" si="11"/>
        <v>X:\RUM's\DVS</v>
      </c>
      <c r="F78" s="12" t="s">
        <v>104</v>
      </c>
      <c r="T78" s="1" t="str">
        <f t="shared" si="15"/>
        <v>COVER ONE APPAREL</v>
      </c>
      <c r="U78" s="1" t="str">
        <f t="shared" si="16"/>
        <v>X:\@APPAREL FOR ALL\COVER ONE APPAREL</v>
      </c>
      <c r="V78" s="12" t="s">
        <v>536</v>
      </c>
    </row>
    <row r="79" spans="2:22" x14ac:dyDescent="0.25">
      <c r="B79" s="1" t="str">
        <f>A9</f>
        <v>X:</v>
      </c>
      <c r="D79" s="1" t="str">
        <f t="shared" si="13"/>
        <v>DYNAFIT</v>
      </c>
      <c r="E79" s="1" t="str">
        <f t="shared" si="11"/>
        <v>X:\RUM's\DYNAFIT</v>
      </c>
      <c r="F79" s="12" t="s">
        <v>105</v>
      </c>
      <c r="T79" s="1" t="str">
        <f t="shared" si="15"/>
        <v>CPO PROVISIONS</v>
      </c>
      <c r="U79" s="1" t="str">
        <f t="shared" si="16"/>
        <v>X:\@APPAREL FOR ALL\CPO PROVISIONS</v>
      </c>
      <c r="V79" s="12" t="s">
        <v>537</v>
      </c>
    </row>
    <row r="80" spans="2:22" x14ac:dyDescent="0.25">
      <c r="B80" s="1" t="str">
        <f>A9</f>
        <v>X:</v>
      </c>
      <c r="D80" s="1" t="str">
        <f t="shared" si="13"/>
        <v>EAGSOUNI</v>
      </c>
      <c r="E80" s="1" t="str">
        <f t="shared" si="11"/>
        <v>X:\RUM's\EAGSOUNI</v>
      </c>
      <c r="F80" s="12" t="s">
        <v>106</v>
      </c>
      <c r="T80" s="1" t="str">
        <f t="shared" si="15"/>
        <v>CRAFT</v>
      </c>
      <c r="U80" s="1" t="str">
        <f t="shared" si="16"/>
        <v>X:\@APPAREL FOR ALL\CRAFT</v>
      </c>
      <c r="V80" s="12" t="s">
        <v>538</v>
      </c>
    </row>
    <row r="81" spans="2:22" x14ac:dyDescent="0.25">
      <c r="B81" s="1" t="str">
        <f>A9</f>
        <v>X:</v>
      </c>
      <c r="D81" s="1" t="str">
        <f t="shared" si="13"/>
        <v>EARTH BRANDS</v>
      </c>
      <c r="E81" s="1" t="str">
        <f t="shared" si="11"/>
        <v>X:\RUM's\EARTH BRANDS</v>
      </c>
      <c r="F81" s="12" t="s">
        <v>107</v>
      </c>
      <c r="T81" s="1" t="str">
        <f t="shared" si="15"/>
        <v>CREATIVE RECREATION</v>
      </c>
      <c r="U81" s="1" t="str">
        <f t="shared" si="16"/>
        <v>X:\@APPAREL FOR ALL\CREATIVE RECREATION</v>
      </c>
      <c r="V81" s="12" t="s">
        <v>539</v>
      </c>
    </row>
    <row r="82" spans="2:22" x14ac:dyDescent="0.25">
      <c r="B82" s="1" t="str">
        <f>A9</f>
        <v>X:</v>
      </c>
      <c r="D82" s="1" t="str">
        <f t="shared" si="13"/>
        <v>EARTH ORIGINS</v>
      </c>
      <c r="E82" s="1" t="str">
        <f t="shared" si="11"/>
        <v>X:\RUM's\EARTH ORIGINS</v>
      </c>
      <c r="F82" s="12" t="s">
        <v>108</v>
      </c>
      <c r="T82" s="1" t="str">
        <f t="shared" si="15"/>
        <v>CREEK</v>
      </c>
      <c r="U82" s="1" t="str">
        <f t="shared" si="16"/>
        <v>X:\@APPAREL FOR ALL\CREEK</v>
      </c>
      <c r="V82" s="12" t="s">
        <v>540</v>
      </c>
    </row>
    <row r="83" spans="2:22" x14ac:dyDescent="0.25">
      <c r="B83" s="1" t="str">
        <f>A9</f>
        <v>X:</v>
      </c>
      <c r="D83" s="1" t="str">
        <f t="shared" si="13"/>
        <v>EASY STREET</v>
      </c>
      <c r="E83" s="1" t="str">
        <f t="shared" si="11"/>
        <v>X:\RUM's\EASY STREET</v>
      </c>
      <c r="F83" s="12" t="s">
        <v>109</v>
      </c>
      <c r="T83" s="1" t="str">
        <f t="shared" si="15"/>
        <v>CREP PROTECT</v>
      </c>
      <c r="U83" s="1" t="str">
        <f t="shared" si="16"/>
        <v>X:\@APPAREL FOR ALL\CREP PROTECT</v>
      </c>
      <c r="V83" s="12" t="s">
        <v>541</v>
      </c>
    </row>
    <row r="84" spans="2:22" x14ac:dyDescent="0.25">
      <c r="B84" s="1" t="str">
        <f>A9</f>
        <v>X:</v>
      </c>
      <c r="D84" s="1" t="str">
        <f t="shared" si="13"/>
        <v>EDDIE BAUER</v>
      </c>
      <c r="E84" s="1" t="str">
        <f t="shared" si="11"/>
        <v>X:\RUM's\EDDIE BAUER</v>
      </c>
      <c r="F84" s="12" t="s">
        <v>110</v>
      </c>
      <c r="T84" s="1" t="str">
        <f t="shared" si="15"/>
        <v>CROCS</v>
      </c>
      <c r="U84" s="1" t="str">
        <f t="shared" si="16"/>
        <v>X:\@APPAREL FOR ALL\CROCS</v>
      </c>
      <c r="V84" s="12" t="s">
        <v>542</v>
      </c>
    </row>
    <row r="85" spans="2:22" x14ac:dyDescent="0.25">
      <c r="B85" s="1" t="str">
        <f>A9</f>
        <v>X:</v>
      </c>
      <c r="D85" s="1" t="str">
        <f t="shared" si="13"/>
        <v>EKTIO</v>
      </c>
      <c r="E85" s="1" t="str">
        <f t="shared" si="11"/>
        <v>X:\RUM's\EKTIO</v>
      </c>
      <c r="F85" s="12" t="s">
        <v>111</v>
      </c>
      <c r="T85" s="1" t="str">
        <f t="shared" si="15"/>
        <v>CROOKS &amp; CASTLES</v>
      </c>
      <c r="U85" s="1" t="str">
        <f t="shared" si="16"/>
        <v>X:\@APPAREL FOR ALL\CROOKS &amp; CASTLES</v>
      </c>
      <c r="V85" s="12" t="s">
        <v>543</v>
      </c>
    </row>
    <row r="86" spans="2:22" x14ac:dyDescent="0.25">
      <c r="B86" s="1" t="str">
        <f>A9</f>
        <v>X:</v>
      </c>
      <c r="D86" s="1" t="str">
        <f t="shared" si="13"/>
        <v>ELLESSE</v>
      </c>
      <c r="E86" s="1" t="str">
        <f t="shared" si="11"/>
        <v>X:\RUM's\ELLESSE</v>
      </c>
      <c r="F86" s="12" t="s">
        <v>112</v>
      </c>
      <c r="T86" s="1" t="str">
        <f t="shared" si="15"/>
        <v>CROOKS AND CASTLES</v>
      </c>
      <c r="U86" s="1" t="str">
        <f t="shared" si="16"/>
        <v>X:\@APPAREL FOR ALL\CROOKS AND CASTLES</v>
      </c>
      <c r="V86" s="12" t="s">
        <v>544</v>
      </c>
    </row>
    <row r="87" spans="2:22" x14ac:dyDescent="0.25">
      <c r="B87" s="1" t="str">
        <f>A9</f>
        <v>X:</v>
      </c>
      <c r="D87" s="1" t="str">
        <f t="shared" si="13"/>
        <v>EMERICA</v>
      </c>
      <c r="E87" s="1" t="str">
        <f t="shared" si="11"/>
        <v>X:\RUM's\EMERICA</v>
      </c>
      <c r="F87" s="12" t="s">
        <v>113</v>
      </c>
      <c r="T87" s="1" t="str">
        <f t="shared" si="15"/>
        <v>CW-X</v>
      </c>
      <c r="U87" s="1" t="str">
        <f t="shared" si="16"/>
        <v>X:\@APPAREL FOR ALL\CW-X</v>
      </c>
      <c r="V87" s="12" t="s">
        <v>545</v>
      </c>
    </row>
    <row r="88" spans="2:22" x14ac:dyDescent="0.25">
      <c r="B88" s="1" t="str">
        <f>A9</f>
        <v>X:</v>
      </c>
      <c r="D88" s="1" t="str">
        <f t="shared" si="13"/>
        <v>ETNIES</v>
      </c>
      <c r="E88" s="1" t="str">
        <f t="shared" si="11"/>
        <v>X:\RUM's\ETNIES</v>
      </c>
      <c r="F88" s="12" t="s">
        <v>114</v>
      </c>
      <c r="T88" s="1" t="str">
        <f t="shared" si="15"/>
        <v>DailyRitval</v>
      </c>
      <c r="U88" s="1" t="str">
        <f t="shared" si="16"/>
        <v>X:\@APPAREL FOR ALL\DailyRitval</v>
      </c>
      <c r="V88" s="12" t="s">
        <v>546</v>
      </c>
    </row>
    <row r="89" spans="2:22" x14ac:dyDescent="0.25">
      <c r="B89" s="1" t="str">
        <f>A9</f>
        <v>X:</v>
      </c>
      <c r="D89" s="1" t="str">
        <f t="shared" si="13"/>
        <v>ETONIC</v>
      </c>
      <c r="E89" s="1" t="str">
        <f t="shared" si="11"/>
        <v>X:\RUM's\ETONIC</v>
      </c>
      <c r="F89" s="12" t="s">
        <v>115</v>
      </c>
      <c r="T89" s="1" t="str">
        <f t="shared" si="15"/>
        <v>DAKINE</v>
      </c>
      <c r="U89" s="1" t="str">
        <f t="shared" si="16"/>
        <v>X:\@APPAREL FOR ALL\DAKINE</v>
      </c>
      <c r="V89" s="12" t="s">
        <v>547</v>
      </c>
    </row>
    <row r="90" spans="2:22" x14ac:dyDescent="0.25">
      <c r="B90" s="1" t="str">
        <f>A9</f>
        <v>X:</v>
      </c>
      <c r="D90" s="1" t="str">
        <f t="shared" si="13"/>
        <v>FASHION SHATANXIE</v>
      </c>
      <c r="E90" s="1" t="str">
        <f t="shared" si="11"/>
        <v>X:\RUM's\FASHION SHATANXIE</v>
      </c>
      <c r="F90" s="12" t="s">
        <v>116</v>
      </c>
      <c r="T90" s="1" t="str">
        <f t="shared" si="15"/>
        <v>DARN TOUGH</v>
      </c>
      <c r="U90" s="1" t="str">
        <f t="shared" si="16"/>
        <v>X:\@APPAREL FOR ALL\DARN TOUGH</v>
      </c>
      <c r="V90" s="12" t="s">
        <v>548</v>
      </c>
    </row>
    <row r="91" spans="2:22" x14ac:dyDescent="0.25">
      <c r="B91" s="1" t="str">
        <f>A9</f>
        <v>X:</v>
      </c>
      <c r="D91" s="1" t="str">
        <f t="shared" si="13"/>
        <v>FEIYUE</v>
      </c>
      <c r="E91" s="1" t="str">
        <f t="shared" si="11"/>
        <v>X:\RUM's\FEIYUE</v>
      </c>
      <c r="F91" s="12" t="s">
        <v>117</v>
      </c>
      <c r="T91" s="1" t="str">
        <f t="shared" si="15"/>
        <v>DE SOTO</v>
      </c>
      <c r="U91" s="1" t="str">
        <f t="shared" si="16"/>
        <v>X:\@APPAREL FOR ALL\DE SOTO</v>
      </c>
      <c r="V91" s="12" t="s">
        <v>549</v>
      </c>
    </row>
    <row r="92" spans="2:22" x14ac:dyDescent="0.25">
      <c r="B92" s="1" t="str">
        <f>A9</f>
        <v>X:</v>
      </c>
      <c r="D92" s="1" t="str">
        <f t="shared" si="13"/>
        <v>FILA</v>
      </c>
      <c r="E92" s="1" t="str">
        <f t="shared" si="11"/>
        <v>X:\RUM's\FILA</v>
      </c>
      <c r="F92" s="12" t="s">
        <v>118</v>
      </c>
      <c r="T92" s="1" t="str">
        <f t="shared" si="15"/>
        <v>DELTA</v>
      </c>
      <c r="U92" s="1" t="str">
        <f t="shared" si="16"/>
        <v>X:\@APPAREL FOR ALL\DELTA</v>
      </c>
      <c r="V92" s="12" t="s">
        <v>550</v>
      </c>
    </row>
    <row r="93" spans="2:22" x14ac:dyDescent="0.25">
      <c r="B93" s="1" t="str">
        <f>A9</f>
        <v>X:</v>
      </c>
      <c r="D93" s="1" t="str">
        <f t="shared" si="13"/>
        <v>FITFLOP</v>
      </c>
      <c r="E93" s="1" t="str">
        <f t="shared" si="11"/>
        <v>X:\RUM's\FITFLOP</v>
      </c>
      <c r="F93" s="12" t="s">
        <v>119</v>
      </c>
      <c r="T93" s="1" t="str">
        <f t="shared" si="15"/>
        <v>DENALI</v>
      </c>
      <c r="U93" s="1" t="str">
        <f t="shared" si="16"/>
        <v>X:\@APPAREL FOR ALL\DENALI</v>
      </c>
      <c r="V93" s="12" t="s">
        <v>551</v>
      </c>
    </row>
    <row r="94" spans="2:22" x14ac:dyDescent="0.25">
      <c r="B94" s="1" t="str">
        <f>A9</f>
        <v>X:</v>
      </c>
      <c r="D94" s="1" t="str">
        <f t="shared" si="13"/>
        <v>FITKICKS</v>
      </c>
      <c r="E94" s="1" t="str">
        <f t="shared" si="11"/>
        <v>X:\RUM's\FITKICKS</v>
      </c>
      <c r="F94" s="12" t="s">
        <v>120</v>
      </c>
      <c r="T94" s="1" t="str">
        <f t="shared" si="15"/>
        <v>DICKIES</v>
      </c>
      <c r="U94" s="1" t="str">
        <f t="shared" si="16"/>
        <v>X:\@APPAREL FOR ALL\DICKIES</v>
      </c>
      <c r="V94" s="12" t="s">
        <v>552</v>
      </c>
    </row>
    <row r="95" spans="2:22" x14ac:dyDescent="0.25">
      <c r="B95" s="1" t="str">
        <f>A9</f>
        <v>X:</v>
      </c>
      <c r="D95" s="1" t="str">
        <f t="shared" si="13"/>
        <v>FIVE TEN</v>
      </c>
      <c r="E95" s="1" t="str">
        <f t="shared" si="11"/>
        <v>X:\RUM's\FIVE TEN</v>
      </c>
      <c r="F95" s="12" t="s">
        <v>121</v>
      </c>
      <c r="T95" s="1" t="str">
        <f t="shared" si="15"/>
        <v>DINIFEN</v>
      </c>
      <c r="U95" s="1" t="str">
        <f t="shared" si="16"/>
        <v>X:\@APPAREL FOR ALL\DINIFEN</v>
      </c>
      <c r="V95" s="12" t="s">
        <v>553</v>
      </c>
    </row>
    <row r="96" spans="2:22" x14ac:dyDescent="0.25">
      <c r="B96" s="1" t="str">
        <f>A9</f>
        <v>X:</v>
      </c>
      <c r="D96" s="1" t="str">
        <f t="shared" si="13"/>
        <v>FLY</v>
      </c>
      <c r="E96" s="1" t="str">
        <f t="shared" si="11"/>
        <v>X:\RUM's\FLY</v>
      </c>
      <c r="F96" s="12" t="s">
        <v>122</v>
      </c>
      <c r="T96" s="1" t="str">
        <f t="shared" si="15"/>
        <v>DISNEY</v>
      </c>
      <c r="U96" s="1" t="str">
        <f t="shared" si="16"/>
        <v>X:\@APPAREL FOR ALL\DISNEY</v>
      </c>
      <c r="V96" s="12" t="s">
        <v>554</v>
      </c>
    </row>
    <row r="97" spans="2:22" x14ac:dyDescent="0.25">
      <c r="B97" s="1" t="str">
        <f>A9</f>
        <v>X:</v>
      </c>
      <c r="D97" s="1" t="str">
        <f t="shared" si="13"/>
        <v>FREE CHOICE BY ELIS</v>
      </c>
      <c r="E97" s="1" t="str">
        <f t="shared" si="11"/>
        <v>X:\RUM's\FREE CHOICE BY ELIS</v>
      </c>
      <c r="F97" s="12" t="s">
        <v>123</v>
      </c>
      <c r="T97" s="1" t="str">
        <f t="shared" si="15"/>
        <v>DISTANT REPLAYS</v>
      </c>
      <c r="U97" s="1" t="str">
        <f t="shared" si="16"/>
        <v>X:\@APPAREL FOR ALL\DISTANT REPLAYS</v>
      </c>
      <c r="V97" s="12" t="s">
        <v>555</v>
      </c>
    </row>
    <row r="98" spans="2:22" x14ac:dyDescent="0.25">
      <c r="B98" s="1" t="str">
        <f>A9</f>
        <v>X:</v>
      </c>
      <c r="D98" s="1" t="str">
        <f t="shared" si="13"/>
        <v>FREE PEOPLE</v>
      </c>
      <c r="E98" s="1" t="str">
        <f t="shared" si="11"/>
        <v>X:\RUM's\FREE PEOPLE</v>
      </c>
      <c r="F98" s="12" t="s">
        <v>124</v>
      </c>
      <c r="T98" s="1" t="str">
        <f t="shared" si="15"/>
        <v>DRYMAX</v>
      </c>
      <c r="U98" s="1" t="str">
        <f t="shared" si="16"/>
        <v>X:\@APPAREL FOR ALL\DRYMAX</v>
      </c>
      <c r="V98" s="12" t="s">
        <v>556</v>
      </c>
    </row>
    <row r="99" spans="2:22" x14ac:dyDescent="0.25">
      <c r="B99" s="1" t="str">
        <f>A9</f>
        <v>X:</v>
      </c>
      <c r="D99" s="1" t="str">
        <f t="shared" si="13"/>
        <v>FRYE</v>
      </c>
      <c r="E99" s="1" t="str">
        <f t="shared" si="11"/>
        <v>X:\RUM's\FRYE</v>
      </c>
      <c r="F99" s="12" t="s">
        <v>125</v>
      </c>
      <c r="T99" s="1" t="str">
        <f t="shared" si="15"/>
        <v>DSTLD</v>
      </c>
      <c r="U99" s="1" t="str">
        <f t="shared" si="16"/>
        <v>X:\@APPAREL FOR ALL\DSTLD</v>
      </c>
      <c r="V99" s="12" t="s">
        <v>557</v>
      </c>
    </row>
    <row r="100" spans="2:22" x14ac:dyDescent="0.25">
      <c r="B100" s="1" t="str">
        <f>A9</f>
        <v>X:</v>
      </c>
      <c r="D100" s="1" t="str">
        <f t="shared" si="13"/>
        <v>FUBU</v>
      </c>
      <c r="E100" s="1" t="str">
        <f t="shared" si="11"/>
        <v>X:\RUM's\FUBU</v>
      </c>
      <c r="F100" s="12" t="s">
        <v>126</v>
      </c>
      <c r="T100" s="1" t="str">
        <f t="shared" si="15"/>
        <v>Dstruct</v>
      </c>
      <c r="U100" s="1" t="str">
        <f t="shared" si="16"/>
        <v>X:\@APPAREL FOR ALL\Dstruct</v>
      </c>
      <c r="V100" s="12" t="s">
        <v>558</v>
      </c>
    </row>
    <row r="101" spans="2:22" x14ac:dyDescent="0.25">
      <c r="B101" s="1" t="str">
        <f>A9</f>
        <v>X:</v>
      </c>
      <c r="D101" s="1" t="str">
        <f t="shared" si="13"/>
        <v>GBX</v>
      </c>
      <c r="E101" s="1" t="str">
        <f t="shared" si="11"/>
        <v>X:\RUM's\GBX</v>
      </c>
      <c r="F101" s="12" t="s">
        <v>127</v>
      </c>
      <c r="T101" s="1" t="str">
        <f t="shared" si="15"/>
        <v>E5</v>
      </c>
      <c r="U101" s="1" t="str">
        <f t="shared" si="16"/>
        <v>X:\@APPAREL FOR ALL\E5</v>
      </c>
      <c r="V101" s="12" t="s">
        <v>559</v>
      </c>
    </row>
    <row r="102" spans="2:22" x14ac:dyDescent="0.25">
      <c r="B102" s="1" t="str">
        <f>A9</f>
        <v>X:</v>
      </c>
      <c r="D102" s="1" t="str">
        <f t="shared" si="13"/>
        <v>GEE WAWA</v>
      </c>
      <c r="E102" s="1" t="str">
        <f t="shared" si="11"/>
        <v>X:\RUM's\GEE WAWA</v>
      </c>
      <c r="F102" s="12" t="s">
        <v>128</v>
      </c>
      <c r="T102" s="1" t="str">
        <f t="shared" si="15"/>
        <v>ELLESSE</v>
      </c>
      <c r="U102" s="1" t="str">
        <f t="shared" si="16"/>
        <v>X:\@APPAREL FOR ALL\ELLESSE</v>
      </c>
      <c r="V102" s="12" t="s">
        <v>560</v>
      </c>
    </row>
    <row r="103" spans="2:22" x14ac:dyDescent="0.25">
      <c r="B103" s="1" t="str">
        <f>A9</f>
        <v>X:</v>
      </c>
      <c r="D103" s="1" t="str">
        <f t="shared" si="13"/>
        <v>GIORGIO BRUTINI</v>
      </c>
      <c r="E103" s="1" t="str">
        <f t="shared" si="11"/>
        <v>X:\RUM's\GIORGIO BRUTINI</v>
      </c>
      <c r="F103" s="12" t="s">
        <v>129</v>
      </c>
      <c r="T103" s="1" t="str">
        <f t="shared" si="15"/>
        <v>EMBELLISH</v>
      </c>
      <c r="U103" s="1" t="str">
        <f t="shared" si="16"/>
        <v>X:\@APPAREL FOR ALL\EMBELLISH</v>
      </c>
      <c r="V103" s="12" t="s">
        <v>561</v>
      </c>
    </row>
    <row r="104" spans="2:22" x14ac:dyDescent="0.25">
      <c r="B104" s="1" t="str">
        <f>A9</f>
        <v>X:</v>
      </c>
      <c r="D104" s="1" t="str">
        <f t="shared" si="13"/>
        <v>GLERUPS</v>
      </c>
      <c r="E104" s="1" t="str">
        <f t="shared" si="11"/>
        <v>X:\RUM's\GLERUPS</v>
      </c>
      <c r="F104" s="12" t="s">
        <v>130</v>
      </c>
      <c r="T104" s="1" t="str">
        <f t="shared" si="15"/>
        <v>EMPORIO ARMANI</v>
      </c>
      <c r="U104" s="1" t="str">
        <f t="shared" si="16"/>
        <v>X:\@APPAREL FOR ALL\EMPORIO ARMANI</v>
      </c>
      <c r="V104" s="12" t="s">
        <v>562</v>
      </c>
    </row>
    <row r="105" spans="2:22" x14ac:dyDescent="0.25">
      <c r="B105" s="1" t="str">
        <f>A9</f>
        <v>X:</v>
      </c>
      <c r="D105" s="1" t="str">
        <f t="shared" si="13"/>
        <v>GLOBE</v>
      </c>
      <c r="E105" s="1" t="str">
        <f t="shared" si="11"/>
        <v>X:\RUM's\GLOBE</v>
      </c>
      <c r="F105" s="12" t="s">
        <v>131</v>
      </c>
      <c r="T105" s="1" t="str">
        <f t="shared" si="15"/>
        <v>ENELL</v>
      </c>
      <c r="U105" s="1" t="str">
        <f t="shared" si="16"/>
        <v>X:\@APPAREL FOR ALL\ENELL</v>
      </c>
      <c r="V105" s="12" t="s">
        <v>563</v>
      </c>
    </row>
    <row r="106" spans="2:22" x14ac:dyDescent="0.25">
      <c r="B106" s="1" t="str">
        <f>A9</f>
        <v>X:</v>
      </c>
      <c r="D106" s="1" t="str">
        <f t="shared" si="13"/>
        <v>GRABBERS</v>
      </c>
      <c r="E106" s="1" t="str">
        <f t="shared" si="11"/>
        <v>X:\RUM's\GRABBERS</v>
      </c>
      <c r="F106" s="12" t="s">
        <v>132</v>
      </c>
      <c r="T106" s="1" t="str">
        <f t="shared" si="15"/>
        <v>EVEREST</v>
      </c>
      <c r="U106" s="1" t="str">
        <f t="shared" si="16"/>
        <v>X:\@APPAREL FOR ALL\EVEREST</v>
      </c>
      <c r="V106" s="12" t="s">
        <v>564</v>
      </c>
    </row>
    <row r="107" spans="2:22" x14ac:dyDescent="0.25">
      <c r="B107" s="1" t="str">
        <f>A9</f>
        <v>X:</v>
      </c>
      <c r="D107" s="1" t="str">
        <f t="shared" si="13"/>
        <v>GRASSHOPPERS</v>
      </c>
      <c r="E107" s="1" t="str">
        <f t="shared" si="11"/>
        <v>X:\RUM's\GRASSHOPPERS</v>
      </c>
      <c r="F107" s="12" t="s">
        <v>133</v>
      </c>
      <c r="T107" s="1" t="str">
        <f t="shared" si="15"/>
        <v>EXPERIA</v>
      </c>
      <c r="U107" s="1" t="str">
        <f t="shared" si="16"/>
        <v>X:\@APPAREL FOR ALL\EXPERIA</v>
      </c>
      <c r="V107" s="12" t="s">
        <v>565</v>
      </c>
    </row>
    <row r="108" spans="2:22" x14ac:dyDescent="0.25">
      <c r="B108" s="1" t="str">
        <f>A9</f>
        <v>X:</v>
      </c>
      <c r="D108" s="1" t="str">
        <f t="shared" si="13"/>
        <v>GRAVITY DEFYER</v>
      </c>
      <c r="E108" s="1" t="str">
        <f t="shared" si="11"/>
        <v>X:\RUM's\GRAVITY DEFYER</v>
      </c>
      <c r="F108" s="12" t="s">
        <v>134</v>
      </c>
      <c r="T108" s="1" t="str">
        <f t="shared" si="15"/>
        <v>EXPRESS</v>
      </c>
      <c r="U108" s="1" t="str">
        <f t="shared" si="16"/>
        <v>X:\@APPAREL FOR ALL\EXPRESS</v>
      </c>
      <c r="V108" s="12" t="s">
        <v>566</v>
      </c>
    </row>
    <row r="109" spans="2:22" x14ac:dyDescent="0.25">
      <c r="B109" s="1" t="str">
        <f>A9</f>
        <v>X:</v>
      </c>
      <c r="D109" s="1" t="str">
        <f t="shared" si="13"/>
        <v>HAFLINGER</v>
      </c>
      <c r="E109" s="1" t="str">
        <f t="shared" si="11"/>
        <v>X:\RUM's\HAFLINGER</v>
      </c>
      <c r="F109" s="12" t="s">
        <v>135</v>
      </c>
      <c r="T109" s="1" t="str">
        <f t="shared" si="15"/>
        <v>FANSLEEVES</v>
      </c>
      <c r="U109" s="1" t="str">
        <f t="shared" si="16"/>
        <v>X:\@APPAREL FOR ALL\FANSLEEVES</v>
      </c>
      <c r="V109" s="12" t="s">
        <v>567</v>
      </c>
    </row>
    <row r="110" spans="2:22" x14ac:dyDescent="0.25">
      <c r="B110" s="1" t="str">
        <f>A9</f>
        <v>X:</v>
      </c>
      <c r="D110" s="1" t="str">
        <f t="shared" si="13"/>
        <v>HAVAIANAS</v>
      </c>
      <c r="E110" s="1" t="str">
        <f t="shared" si="11"/>
        <v>X:\RUM's\HAVAIANAS</v>
      </c>
      <c r="F110" s="12" t="s">
        <v>136</v>
      </c>
      <c r="T110" s="1" t="str">
        <f t="shared" si="15"/>
        <v>FASHION MASK</v>
      </c>
      <c r="U110" s="1" t="str">
        <f t="shared" si="16"/>
        <v>X:\@APPAREL FOR ALL\FASHION MASK</v>
      </c>
      <c r="V110" s="12" t="s">
        <v>568</v>
      </c>
    </row>
    <row r="111" spans="2:22" x14ac:dyDescent="0.25">
      <c r="B111" s="1" t="str">
        <f>A9</f>
        <v>X:</v>
      </c>
      <c r="D111" s="1" t="str">
        <f t="shared" si="13"/>
        <v>HEATON</v>
      </c>
      <c r="E111" s="1" t="str">
        <f t="shared" si="11"/>
        <v>X:\RUM's\HEATON</v>
      </c>
      <c r="F111" s="12" t="s">
        <v>137</v>
      </c>
      <c r="T111" s="1" t="str">
        <f t="shared" si="15"/>
        <v>FBF ORIGINALS</v>
      </c>
      <c r="U111" s="1" t="str">
        <f t="shared" si="16"/>
        <v>X:\@APPAREL FOR ALL\FBF ORIGINALS</v>
      </c>
      <c r="V111" s="12" t="s">
        <v>569</v>
      </c>
    </row>
    <row r="112" spans="2:22" x14ac:dyDescent="0.25">
      <c r="B112" s="1" t="str">
        <f>A9</f>
        <v>X:</v>
      </c>
      <c r="D112" s="1" t="str">
        <f t="shared" si="13"/>
        <v>HEELYS</v>
      </c>
      <c r="E112" s="1" t="str">
        <f t="shared" si="11"/>
        <v>X:\RUM's\HEELYS</v>
      </c>
      <c r="F112" s="12" t="s">
        <v>138</v>
      </c>
      <c r="T112" s="1" t="str">
        <f t="shared" si="15"/>
        <v>FEETURES</v>
      </c>
      <c r="U112" s="1" t="str">
        <f t="shared" si="16"/>
        <v>X:\@APPAREL FOR ALL\FEETURES</v>
      </c>
      <c r="V112" s="12" t="s">
        <v>570</v>
      </c>
    </row>
    <row r="113" spans="2:22" x14ac:dyDescent="0.25">
      <c r="B113" s="1" t="str">
        <f>A9</f>
        <v>X:</v>
      </c>
      <c r="D113" s="1" t="str">
        <f t="shared" si="13"/>
        <v>HIND</v>
      </c>
      <c r="E113" s="1" t="str">
        <f t="shared" si="11"/>
        <v>X:\RUM's\HIND</v>
      </c>
      <c r="F113" s="12" t="s">
        <v>139</v>
      </c>
      <c r="T113" s="1" t="str">
        <f t="shared" si="15"/>
        <v>FILA</v>
      </c>
      <c r="U113" s="1" t="str">
        <f t="shared" si="16"/>
        <v>X:\@APPAREL FOR ALL\FILA</v>
      </c>
      <c r="V113" s="12" t="s">
        <v>571</v>
      </c>
    </row>
    <row r="114" spans="2:22" x14ac:dyDescent="0.25">
      <c r="B114" s="1" t="str">
        <f>A9</f>
        <v>X:</v>
      </c>
      <c r="D114" s="1" t="str">
        <f t="shared" si="13"/>
        <v>HI-TEC</v>
      </c>
      <c r="E114" s="1" t="str">
        <f t="shared" si="11"/>
        <v>X:\RUM's\HI-TEC</v>
      </c>
      <c r="F114" s="12" t="s">
        <v>140</v>
      </c>
      <c r="T114" s="1" t="str">
        <f t="shared" si="15"/>
        <v>FINISHLINE</v>
      </c>
      <c r="U114" s="1" t="str">
        <f t="shared" si="16"/>
        <v>X:\@APPAREL FOR ALL\FINISHLINE</v>
      </c>
      <c r="V114" s="12" t="s">
        <v>572</v>
      </c>
    </row>
    <row r="115" spans="2:22" x14ac:dyDescent="0.25">
      <c r="B115" s="1" t="str">
        <f>A9</f>
        <v>X:</v>
      </c>
      <c r="D115" s="1" t="str">
        <f t="shared" si="13"/>
        <v>HOKA ONE</v>
      </c>
      <c r="E115" s="1" t="str">
        <f t="shared" si="11"/>
        <v>X:\RUM's\HOKA ONE</v>
      </c>
      <c r="F115" s="12" t="s">
        <v>141</v>
      </c>
      <c r="T115" s="1" t="str">
        <f t="shared" si="15"/>
        <v>FITKICKS</v>
      </c>
      <c r="U115" s="1" t="str">
        <f t="shared" si="16"/>
        <v>X:\@APPAREL FOR ALL\FITKICKS</v>
      </c>
      <c r="V115" s="12" t="s">
        <v>573</v>
      </c>
    </row>
    <row r="116" spans="2:22" x14ac:dyDescent="0.25">
      <c r="B116" s="1" t="str">
        <f>A9</f>
        <v>X:</v>
      </c>
      <c r="D116" s="1" t="str">
        <f t="shared" si="13"/>
        <v>HUNTER</v>
      </c>
      <c r="E116" s="1" t="str">
        <f t="shared" si="11"/>
        <v>X:\RUM's\HUNTER</v>
      </c>
      <c r="F116" s="12" t="s">
        <v>142</v>
      </c>
      <c r="T116" s="1" t="str">
        <f t="shared" si="15"/>
        <v>FITLETIC</v>
      </c>
      <c r="U116" s="1" t="str">
        <f t="shared" si="16"/>
        <v>X:\@APPAREL FOR ALL\FITLETIC</v>
      </c>
      <c r="V116" s="12" t="s">
        <v>574</v>
      </c>
    </row>
    <row r="117" spans="2:22" x14ac:dyDescent="0.25">
      <c r="B117" s="1" t="str">
        <f>A9</f>
        <v>X:</v>
      </c>
      <c r="D117" s="1" t="str">
        <f t="shared" si="13"/>
        <v>HURLEY</v>
      </c>
      <c r="E117" s="1" t="str">
        <f t="shared" si="11"/>
        <v>X:\RUM's\HURLEY</v>
      </c>
      <c r="F117" s="12" t="s">
        <v>143</v>
      </c>
      <c r="T117" s="1" t="str">
        <f t="shared" si="15"/>
        <v>FITS</v>
      </c>
      <c r="U117" s="1" t="str">
        <f t="shared" si="16"/>
        <v>X:\@APPAREL FOR ALL\FITS</v>
      </c>
      <c r="V117" s="12" t="s">
        <v>575</v>
      </c>
    </row>
    <row r="118" spans="2:22" x14ac:dyDescent="0.25">
      <c r="B118" s="1" t="str">
        <f>A9</f>
        <v>X:</v>
      </c>
      <c r="D118" s="1" t="str">
        <f t="shared" si="13"/>
        <v>HUSH PUPPIES</v>
      </c>
      <c r="E118" s="1" t="str">
        <f t="shared" si="11"/>
        <v>X:\RUM's\HUSH PUPPIES</v>
      </c>
      <c r="F118" s="12" t="s">
        <v>144</v>
      </c>
      <c r="T118" s="1" t="str">
        <f t="shared" si="15"/>
        <v>FIVE FOUR</v>
      </c>
      <c r="U118" s="1" t="str">
        <f t="shared" si="16"/>
        <v>X:\@APPAREL FOR ALL\FIVE FOUR</v>
      </c>
      <c r="V118" s="12" t="s">
        <v>576</v>
      </c>
    </row>
    <row r="119" spans="2:22" x14ac:dyDescent="0.25">
      <c r="B119" s="1" t="str">
        <f>A9</f>
        <v>X:</v>
      </c>
      <c r="D119" s="1" t="str">
        <f t="shared" si="13"/>
        <v>IDIFU</v>
      </c>
      <c r="E119" s="1" t="str">
        <f t="shared" si="11"/>
        <v>X:\RUM's\IDIFU</v>
      </c>
      <c r="F119" s="12" t="s">
        <v>145</v>
      </c>
      <c r="T119" s="1" t="str">
        <f t="shared" si="15"/>
        <v>FJALLRAVEN</v>
      </c>
      <c r="U119" s="1" t="str">
        <f t="shared" si="16"/>
        <v>X:\@APPAREL FOR ALL\FJALLRAVEN</v>
      </c>
      <c r="V119" s="12" t="s">
        <v>577</v>
      </c>
    </row>
    <row r="120" spans="2:22" x14ac:dyDescent="0.25">
      <c r="B120" s="1" t="str">
        <f>A9</f>
        <v>X:</v>
      </c>
      <c r="D120" s="1" t="str">
        <f t="shared" si="13"/>
        <v>INC INTERNATIONAL CONCEPTS</v>
      </c>
      <c r="E120" s="1" t="str">
        <f t="shared" si="11"/>
        <v>X:\RUM's\INC INTERNATIONAL CONCEPTS</v>
      </c>
      <c r="F120" s="12" t="s">
        <v>146</v>
      </c>
      <c r="T120" s="1" t="str">
        <f t="shared" si="15"/>
        <v>FLAT FITTY</v>
      </c>
      <c r="U120" s="1" t="str">
        <f t="shared" si="16"/>
        <v>X:\@APPAREL FOR ALL\FLAT FITTY</v>
      </c>
      <c r="V120" s="12" t="s">
        <v>578</v>
      </c>
    </row>
    <row r="121" spans="2:22" x14ac:dyDescent="0.25">
      <c r="B121" s="1" t="str">
        <f>A9</f>
        <v>X:</v>
      </c>
      <c r="D121" s="1" t="str">
        <f t="shared" si="13"/>
        <v>INKKAS</v>
      </c>
      <c r="E121" s="1" t="str">
        <f t="shared" si="11"/>
        <v>X:\RUM's\INKKAS</v>
      </c>
      <c r="F121" s="12" t="s">
        <v>147</v>
      </c>
      <c r="T121" s="1" t="str">
        <f t="shared" si="15"/>
        <v>FLUD</v>
      </c>
      <c r="U121" s="1" t="str">
        <f t="shared" si="16"/>
        <v>X:\@APPAREL FOR ALL\FLUD</v>
      </c>
      <c r="V121" s="12" t="s">
        <v>579</v>
      </c>
    </row>
    <row r="122" spans="2:22" x14ac:dyDescent="0.25">
      <c r="B122" s="1" t="str">
        <f>A9</f>
        <v>X:</v>
      </c>
      <c r="D122" s="1" t="str">
        <f t="shared" si="13"/>
        <v>INOV8</v>
      </c>
      <c r="E122" s="1" t="str">
        <f t="shared" si="11"/>
        <v>X:\RUM's\INOV8</v>
      </c>
      <c r="F122" s="12" t="s">
        <v>148</v>
      </c>
      <c r="T122" s="1" t="str">
        <f t="shared" si="15"/>
        <v>FOR BARE FEET</v>
      </c>
      <c r="U122" s="1" t="str">
        <f t="shared" si="16"/>
        <v>X:\@APPAREL FOR ALL\FOR BARE FEET</v>
      </c>
      <c r="V122" s="12" t="s">
        <v>580</v>
      </c>
    </row>
    <row r="123" spans="2:22" x14ac:dyDescent="0.25">
      <c r="B123" s="1" t="str">
        <f>A9</f>
        <v>X:</v>
      </c>
      <c r="D123" s="1" t="str">
        <f t="shared" si="13"/>
        <v>IPATH</v>
      </c>
      <c r="E123" s="1" t="str">
        <f t="shared" si="11"/>
        <v>X:\RUM's\IPATH</v>
      </c>
      <c r="F123" s="12" t="s">
        <v>149</v>
      </c>
      <c r="T123" s="1" t="str">
        <f t="shared" si="15"/>
        <v>FOREVER COLECTIBLES</v>
      </c>
      <c r="U123" s="1" t="str">
        <f t="shared" si="16"/>
        <v>X:\@APPAREL FOR ALL\FOREVER COLECTIBLES</v>
      </c>
      <c r="V123" s="12" t="s">
        <v>581</v>
      </c>
    </row>
    <row r="124" spans="2:22" x14ac:dyDescent="0.25">
      <c r="B124" s="1" t="str">
        <f>A9</f>
        <v>X:</v>
      </c>
      <c r="D124" s="1" t="str">
        <f t="shared" si="13"/>
        <v>IZOD</v>
      </c>
      <c r="E124" s="1" t="str">
        <f t="shared" si="11"/>
        <v>X:\RUM's\IZOD</v>
      </c>
      <c r="F124" s="12" t="s">
        <v>150</v>
      </c>
      <c r="T124" s="1" t="str">
        <f t="shared" si="15"/>
        <v>FOYIPD</v>
      </c>
      <c r="U124" s="1" t="str">
        <f t="shared" si="16"/>
        <v>X:\@APPAREL FOR ALL\FOYIPD</v>
      </c>
      <c r="V124" s="12" t="s">
        <v>582</v>
      </c>
    </row>
    <row r="125" spans="2:22" x14ac:dyDescent="0.25">
      <c r="B125" s="1" t="str">
        <f>A9</f>
        <v>X:</v>
      </c>
      <c r="D125" s="1" t="str">
        <f t="shared" si="13"/>
        <v>JASON MARKK</v>
      </c>
      <c r="E125" s="1" t="str">
        <f t="shared" si="11"/>
        <v>X:\RUM's\JASON MARKK</v>
      </c>
      <c r="F125" s="12" t="s">
        <v>151</v>
      </c>
      <c r="T125" s="1" t="str">
        <f t="shared" si="15"/>
        <v>FREE CHOICE</v>
      </c>
      <c r="U125" s="1" t="str">
        <f t="shared" si="16"/>
        <v>X:\@APPAREL FOR ALL\FREE CHOICE</v>
      </c>
      <c r="V125" s="12" t="s">
        <v>583</v>
      </c>
    </row>
    <row r="126" spans="2:22" x14ac:dyDescent="0.25">
      <c r="B126" s="1" t="str">
        <f>A9</f>
        <v>X:</v>
      </c>
      <c r="D126" s="1" t="str">
        <f t="shared" si="13"/>
        <v>JESEPH ABBOUD</v>
      </c>
      <c r="E126" s="1" t="str">
        <f t="shared" si="11"/>
        <v>X:\RUM's\JESEPH ABBOUD</v>
      </c>
      <c r="F126" s="12" t="s">
        <v>152</v>
      </c>
      <c r="T126" s="1" t="str">
        <f t="shared" si="15"/>
        <v>FREESTYLE</v>
      </c>
      <c r="U126" s="1" t="str">
        <f t="shared" si="16"/>
        <v>X:\@APPAREL FOR ALL\FREESTYLE</v>
      </c>
      <c r="V126" s="12" t="s">
        <v>584</v>
      </c>
    </row>
    <row r="127" spans="2:22" x14ac:dyDescent="0.25">
      <c r="B127" s="1" t="str">
        <f>A9</f>
        <v>X:</v>
      </c>
      <c r="D127" s="1" t="str">
        <f t="shared" si="13"/>
        <v>JESSICA SIMPSON</v>
      </c>
      <c r="E127" s="1" t="str">
        <f t="shared" si="11"/>
        <v>X:\RUM's\JESSICA SIMPSON</v>
      </c>
      <c r="F127" s="12" t="s">
        <v>153</v>
      </c>
      <c r="T127" s="1" t="str">
        <f t="shared" si="15"/>
        <v>FREEZE</v>
      </c>
      <c r="U127" s="1" t="str">
        <f t="shared" si="16"/>
        <v>X:\@APPAREL FOR ALL\FREEZE</v>
      </c>
      <c r="V127" s="12" t="s">
        <v>585</v>
      </c>
    </row>
    <row r="128" spans="2:22" x14ac:dyDescent="0.25">
      <c r="B128" s="1" t="str">
        <f>A9</f>
        <v>X:</v>
      </c>
      <c r="D128" s="1" t="str">
        <f t="shared" si="13"/>
        <v>JOHNSTON &amp; MURPHY</v>
      </c>
      <c r="E128" s="1" t="str">
        <f t="shared" si="11"/>
        <v>X:\RUM's\JOHNSTON &amp; MURPHY</v>
      </c>
      <c r="F128" s="12" t="s">
        <v>154</v>
      </c>
      <c r="T128" s="1" t="str">
        <f t="shared" si="15"/>
        <v>FUN WORLD</v>
      </c>
      <c r="U128" s="1" t="str">
        <f t="shared" si="16"/>
        <v>X:\@APPAREL FOR ALL\FUN WORLD</v>
      </c>
      <c r="V128" s="12" t="s">
        <v>586</v>
      </c>
    </row>
    <row r="129" spans="2:22" x14ac:dyDescent="0.25">
      <c r="B129" s="1" t="str">
        <f>A9</f>
        <v>X:</v>
      </c>
      <c r="D129" s="1" t="str">
        <f t="shared" si="13"/>
        <v>JOULES</v>
      </c>
      <c r="E129" s="1" t="str">
        <f t="shared" si="11"/>
        <v>X:\RUM's\JOULES</v>
      </c>
      <c r="F129" s="12" t="s">
        <v>155</v>
      </c>
      <c r="T129" s="1" t="str">
        <f t="shared" si="15"/>
        <v>G SHOCK</v>
      </c>
      <c r="U129" s="1" t="str">
        <f t="shared" si="16"/>
        <v>X:\@APPAREL FOR ALL\G SHOCK</v>
      </c>
      <c r="V129" s="12" t="s">
        <v>587</v>
      </c>
    </row>
    <row r="130" spans="2:22" x14ac:dyDescent="0.25">
      <c r="B130" s="1" t="str">
        <f>A9</f>
        <v>X:</v>
      </c>
      <c r="D130" s="1" t="str">
        <f t="shared" si="13"/>
        <v>JOURNEE COLLECTION</v>
      </c>
      <c r="E130" s="1" t="str">
        <f t="shared" ref="E130:E193" si="18">CONCATENATE(B130,F130)</f>
        <v>X:\RUM's\JOURNEE COLLECTION</v>
      </c>
      <c r="F130" s="12" t="s">
        <v>156</v>
      </c>
      <c r="T130" s="1" t="str">
        <f t="shared" si="15"/>
        <v>GARDEN HOME OUTDOOR</v>
      </c>
      <c r="U130" s="1" t="str">
        <f t="shared" si="16"/>
        <v>X:\@APPAREL FOR ALL\GARDEN HOME OUTDOOR</v>
      </c>
      <c r="V130" s="12" t="s">
        <v>588</v>
      </c>
    </row>
    <row r="131" spans="2:22" x14ac:dyDescent="0.25">
      <c r="B131" s="1" t="str">
        <f>A9</f>
        <v>X:</v>
      </c>
      <c r="D131" s="1" t="str">
        <f t="shared" ref="D131:D194" si="19">SUBSTITUTE(E131,B131 &amp; "\RUM's\","")</f>
        <v>KAMIK</v>
      </c>
      <c r="E131" s="1" t="str">
        <f t="shared" si="18"/>
        <v>X:\RUM's\KAMIK</v>
      </c>
      <c r="F131" s="12" t="s">
        <v>157</v>
      </c>
      <c r="T131" s="1" t="str">
        <f t="shared" ref="T131:T194" si="20">SUBSTITUTE(U131,B131 &amp; "\@APPAREL FOR ALL\","")</f>
        <v>GARMIN</v>
      </c>
      <c r="U131" s="1" t="str">
        <f t="shared" ref="U131:U194" si="21">CONCATENATE(B131,V131)</f>
        <v>X:\@APPAREL FOR ALL\GARMIN</v>
      </c>
      <c r="V131" s="12" t="s">
        <v>589</v>
      </c>
    </row>
    <row r="132" spans="2:22" x14ac:dyDescent="0.25">
      <c r="B132" s="1" t="str">
        <f>A9</f>
        <v>X:</v>
      </c>
      <c r="D132" s="1" t="str">
        <f t="shared" si="19"/>
        <v>KEDS</v>
      </c>
      <c r="E132" s="1" t="str">
        <f t="shared" si="18"/>
        <v>X:\RUM's\KEDS</v>
      </c>
      <c r="F132" s="12" t="s">
        <v>158</v>
      </c>
      <c r="T132" s="1" t="str">
        <f t="shared" si="20"/>
        <v>GEN 2 SPORTS</v>
      </c>
      <c r="U132" s="1" t="str">
        <f t="shared" si="21"/>
        <v>X:\@APPAREL FOR ALL\GEN 2 SPORTS</v>
      </c>
      <c r="V132" s="12" t="s">
        <v>590</v>
      </c>
    </row>
    <row r="133" spans="2:22" x14ac:dyDescent="0.25">
      <c r="B133" s="1" t="str">
        <f>A9</f>
        <v>X:</v>
      </c>
      <c r="D133" s="1" t="str">
        <f t="shared" si="19"/>
        <v>KEEN</v>
      </c>
      <c r="E133" s="1" t="str">
        <f t="shared" si="18"/>
        <v>X:\RUM's\KEEN</v>
      </c>
      <c r="F133" s="12" t="s">
        <v>159</v>
      </c>
      <c r="T133" s="1" t="str">
        <f t="shared" si="20"/>
        <v>GEOPALZ</v>
      </c>
      <c r="U133" s="1" t="str">
        <f t="shared" si="21"/>
        <v>X:\@APPAREL FOR ALL\GEOPALZ</v>
      </c>
      <c r="V133" s="12" t="s">
        <v>591</v>
      </c>
    </row>
    <row r="134" spans="2:22" x14ac:dyDescent="0.25">
      <c r="B134" s="1" t="str">
        <f>A9</f>
        <v>X:</v>
      </c>
      <c r="D134" s="1" t="str">
        <f t="shared" si="19"/>
        <v>KELSI DAGGER</v>
      </c>
      <c r="E134" s="1" t="str">
        <f t="shared" si="18"/>
        <v>X:\RUM's\KELSI DAGGER</v>
      </c>
      <c r="F134" s="12" t="s">
        <v>160</v>
      </c>
      <c r="T134" s="1" t="str">
        <f t="shared" si="20"/>
        <v>GOOD FEET</v>
      </c>
      <c r="U134" s="1" t="str">
        <f t="shared" si="21"/>
        <v>X:\@APPAREL FOR ALL\GOOD FEET</v>
      </c>
      <c r="V134" s="12" t="s">
        <v>592</v>
      </c>
    </row>
    <row r="135" spans="2:22" x14ac:dyDescent="0.25">
      <c r="B135" s="1" t="str">
        <f>A9</f>
        <v>X:</v>
      </c>
      <c r="D135" s="1" t="str">
        <f t="shared" si="19"/>
        <v>KENNETH COLE</v>
      </c>
      <c r="E135" s="1" t="str">
        <f t="shared" si="18"/>
        <v>X:\RUM's\KENNETH COLE</v>
      </c>
      <c r="F135" s="12" t="s">
        <v>161</v>
      </c>
      <c r="T135" s="1" t="str">
        <f t="shared" si="20"/>
        <v>GRAND AC</v>
      </c>
      <c r="U135" s="1" t="str">
        <f t="shared" si="21"/>
        <v>X:\@APPAREL FOR ALL\GRAND AC</v>
      </c>
      <c r="V135" s="12" t="s">
        <v>593</v>
      </c>
    </row>
    <row r="136" spans="2:22" x14ac:dyDescent="0.25">
      <c r="B136" s="1" t="str">
        <f>A9</f>
        <v>X:</v>
      </c>
      <c r="D136" s="1" t="str">
        <f t="shared" si="19"/>
        <v>KHOMBU</v>
      </c>
      <c r="E136" s="1" t="str">
        <f t="shared" si="18"/>
        <v>X:\RUM's\KHOMBU</v>
      </c>
      <c r="F136" s="12" t="s">
        <v>162</v>
      </c>
      <c r="T136" s="1" t="str">
        <f t="shared" si="20"/>
        <v>GYM KING</v>
      </c>
      <c r="U136" s="1" t="str">
        <f t="shared" si="21"/>
        <v>X:\@APPAREL FOR ALL\GYM KING</v>
      </c>
      <c r="V136" s="12" t="s">
        <v>594</v>
      </c>
    </row>
    <row r="137" spans="2:22" x14ac:dyDescent="0.25">
      <c r="B137" s="1" t="str">
        <f>A9</f>
        <v>X:</v>
      </c>
      <c r="D137" s="1" t="str">
        <f t="shared" si="19"/>
        <v>KSWISS</v>
      </c>
      <c r="E137" s="1" t="str">
        <f t="shared" si="18"/>
        <v>X:\RUM's\KSWISS</v>
      </c>
      <c r="F137" s="12" t="s">
        <v>163</v>
      </c>
      <c r="T137" s="1" t="str">
        <f t="shared" si="20"/>
        <v>H&amp;M</v>
      </c>
      <c r="U137" s="1" t="str">
        <f t="shared" si="21"/>
        <v>X:\@APPAREL FOR ALL\H&amp;M</v>
      </c>
      <c r="V137" s="12" t="s">
        <v>595</v>
      </c>
    </row>
    <row r="138" spans="2:22" x14ac:dyDescent="0.25">
      <c r="B138" s="1" t="str">
        <f>A9</f>
        <v>X:</v>
      </c>
      <c r="D138" s="1" t="str">
        <f t="shared" si="19"/>
        <v>LA GEAR</v>
      </c>
      <c r="E138" s="1" t="str">
        <f t="shared" si="18"/>
        <v>X:\RUM's\LA GEAR</v>
      </c>
      <c r="F138" s="12" t="s">
        <v>164</v>
      </c>
      <c r="T138" s="1" t="str">
        <f t="shared" si="20"/>
        <v>HALLMARK</v>
      </c>
      <c r="U138" s="1" t="str">
        <f t="shared" si="21"/>
        <v>X:\@APPAREL FOR ALL\HALLMARK</v>
      </c>
      <c r="V138" s="12" t="s">
        <v>596</v>
      </c>
    </row>
    <row r="139" spans="2:22" x14ac:dyDescent="0.25">
      <c r="B139" s="1" t="str">
        <f>A9</f>
        <v>X:</v>
      </c>
      <c r="D139" s="1" t="str">
        <f t="shared" si="19"/>
        <v>LA SPORTIVA</v>
      </c>
      <c r="E139" s="1" t="str">
        <f t="shared" si="18"/>
        <v>X:\RUM's\LA SPORTIVA</v>
      </c>
      <c r="F139" s="12" t="s">
        <v>165</v>
      </c>
      <c r="T139" s="1" t="str">
        <f t="shared" si="20"/>
        <v>HANKY PANKY</v>
      </c>
      <c r="U139" s="1" t="str">
        <f t="shared" si="21"/>
        <v>X:\@APPAREL FOR ALL\HANKY PANKY</v>
      </c>
      <c r="V139" s="12" t="s">
        <v>597</v>
      </c>
    </row>
    <row r="140" spans="2:22" x14ac:dyDescent="0.25">
      <c r="B140" s="1" t="str">
        <f>A9</f>
        <v>X:</v>
      </c>
      <c r="D140" s="1" t="str">
        <f t="shared" si="19"/>
        <v>LACOSTE</v>
      </c>
      <c r="E140" s="1" t="str">
        <f t="shared" si="18"/>
        <v>X:\RUM's\LACOSTE</v>
      </c>
      <c r="F140" s="12" t="s">
        <v>166</v>
      </c>
      <c r="T140" s="1" t="str">
        <f t="shared" si="20"/>
        <v>HELEN</v>
      </c>
      <c r="U140" s="1" t="str">
        <f t="shared" si="21"/>
        <v>X:\@APPAREL FOR ALL\HELEN</v>
      </c>
      <c r="V140" s="12" t="s">
        <v>598</v>
      </c>
    </row>
    <row r="141" spans="2:22" x14ac:dyDescent="0.25">
      <c r="B141" s="1" t="str">
        <f>A9</f>
        <v>X:</v>
      </c>
      <c r="D141" s="1" t="str">
        <f t="shared" si="19"/>
        <v>LACROSSE</v>
      </c>
      <c r="E141" s="1" t="str">
        <f t="shared" si="18"/>
        <v>X:\RUM's\LACROSSE</v>
      </c>
      <c r="F141" s="12" t="s">
        <v>167</v>
      </c>
      <c r="T141" s="1" t="str">
        <f t="shared" si="20"/>
        <v>HELINOX</v>
      </c>
      <c r="U141" s="1" t="str">
        <f t="shared" si="21"/>
        <v>X:\@APPAREL FOR ALL\HELINOX</v>
      </c>
      <c r="V141" s="12" t="s">
        <v>599</v>
      </c>
    </row>
    <row r="142" spans="2:22" x14ac:dyDescent="0.25">
      <c r="B142" s="1" t="str">
        <f>A9</f>
        <v>X:</v>
      </c>
      <c r="D142" s="1" t="str">
        <f t="shared" si="19"/>
        <v>LEVIS</v>
      </c>
      <c r="E142" s="1" t="str">
        <f t="shared" si="18"/>
        <v>X:\RUM's\LEVIS</v>
      </c>
      <c r="F142" s="12" t="s">
        <v>168</v>
      </c>
      <c r="T142" s="1" t="str">
        <f t="shared" si="20"/>
        <v>HELLO MELLO</v>
      </c>
      <c r="U142" s="1" t="str">
        <f t="shared" si="21"/>
        <v>X:\@APPAREL FOR ALL\HELLO MELLO</v>
      </c>
      <c r="V142" s="12" t="s">
        <v>600</v>
      </c>
    </row>
    <row r="143" spans="2:22" x14ac:dyDescent="0.25">
      <c r="B143" s="1" t="str">
        <f>A9</f>
        <v>X:</v>
      </c>
      <c r="D143" s="1" t="str">
        <f t="shared" si="19"/>
        <v>LIVIE &amp; LUCA</v>
      </c>
      <c r="E143" s="1" t="str">
        <f t="shared" si="18"/>
        <v>X:\RUM's\LIVIE &amp; LUCA</v>
      </c>
      <c r="F143" s="12" t="s">
        <v>169</v>
      </c>
      <c r="T143" s="1" t="str">
        <f t="shared" si="20"/>
        <v>HELLY HANSEN</v>
      </c>
      <c r="U143" s="1" t="str">
        <f t="shared" si="21"/>
        <v>X:\@APPAREL FOR ALL\HELLY HANSEN</v>
      </c>
      <c r="V143" s="12" t="s">
        <v>601</v>
      </c>
    </row>
    <row r="144" spans="2:22" x14ac:dyDescent="0.25">
      <c r="B144" s="1" t="str">
        <f>A9</f>
        <v>X:</v>
      </c>
      <c r="D144" s="1" t="str">
        <f t="shared" si="19"/>
        <v>LRG</v>
      </c>
      <c r="E144" s="1" t="str">
        <f t="shared" si="18"/>
        <v>X:\RUM's\LRG</v>
      </c>
      <c r="F144" s="12" t="s">
        <v>170</v>
      </c>
      <c r="T144" s="1" t="str">
        <f t="shared" si="20"/>
        <v>HERSCHEL</v>
      </c>
      <c r="U144" s="1" t="str">
        <f t="shared" si="21"/>
        <v>X:\@APPAREL FOR ALL\HERSCHEL</v>
      </c>
      <c r="V144" s="12" t="s">
        <v>602</v>
      </c>
    </row>
    <row r="145" spans="2:22" x14ac:dyDescent="0.25">
      <c r="B145" s="1" t="str">
        <f>A9</f>
        <v>X:</v>
      </c>
      <c r="D145" s="1" t="str">
        <f t="shared" si="19"/>
        <v>LUGZ</v>
      </c>
      <c r="E145" s="1" t="str">
        <f t="shared" si="18"/>
        <v>X:\RUM's\LUGZ</v>
      </c>
      <c r="F145" s="12" t="s">
        <v>171</v>
      </c>
      <c r="T145" s="1" t="str">
        <f t="shared" si="20"/>
        <v>HIND</v>
      </c>
      <c r="U145" s="1" t="str">
        <f t="shared" si="21"/>
        <v>X:\@APPAREL FOR ALL\HIND</v>
      </c>
      <c r="V145" s="12" t="s">
        <v>603</v>
      </c>
    </row>
    <row r="146" spans="2:22" x14ac:dyDescent="0.25">
      <c r="B146" s="1" t="str">
        <f>A9</f>
        <v>X:</v>
      </c>
      <c r="D146" s="1" t="str">
        <f t="shared" si="19"/>
        <v>M4D3</v>
      </c>
      <c r="E146" s="1" t="str">
        <f t="shared" si="18"/>
        <v>X:\RUM's\M4D3</v>
      </c>
      <c r="F146" s="12" t="s">
        <v>172</v>
      </c>
      <c r="T146" s="1" t="str">
        <f t="shared" si="20"/>
        <v>HOBO</v>
      </c>
      <c r="U146" s="1" t="str">
        <f t="shared" si="21"/>
        <v>X:\@APPAREL FOR ALL\HOBO</v>
      </c>
      <c r="V146" s="12" t="s">
        <v>604</v>
      </c>
    </row>
    <row r="147" spans="2:22" x14ac:dyDescent="0.25">
      <c r="B147" s="1" t="str">
        <f>A9</f>
        <v>X:</v>
      </c>
      <c r="D147" s="1" t="str">
        <f t="shared" si="19"/>
        <v>MADE</v>
      </c>
      <c r="E147" s="1" t="str">
        <f t="shared" si="18"/>
        <v>X:\RUM's\MADE</v>
      </c>
      <c r="F147" s="12" t="s">
        <v>173</v>
      </c>
      <c r="T147" s="1" t="str">
        <f t="shared" si="20"/>
        <v>HOKA ONE ONE</v>
      </c>
      <c r="U147" s="1" t="str">
        <f t="shared" si="21"/>
        <v>X:\@APPAREL FOR ALL\HOKA ONE ONE</v>
      </c>
      <c r="V147" s="12" t="s">
        <v>605</v>
      </c>
    </row>
    <row r="148" spans="2:22" x14ac:dyDescent="0.25">
      <c r="B148" s="1" t="str">
        <f>A9</f>
        <v>X:</v>
      </c>
      <c r="D148" s="1" t="str">
        <f t="shared" si="19"/>
        <v>MADEWELL</v>
      </c>
      <c r="E148" s="1" t="str">
        <f t="shared" si="18"/>
        <v>X:\RUM's\MADEWELL</v>
      </c>
      <c r="F148" s="12" t="s">
        <v>174</v>
      </c>
      <c r="T148" s="1" t="str">
        <f t="shared" si="20"/>
        <v>HUF</v>
      </c>
      <c r="U148" s="1" t="str">
        <f t="shared" si="21"/>
        <v>X:\@APPAREL FOR ALL\HUF</v>
      </c>
      <c r="V148" s="12" t="s">
        <v>606</v>
      </c>
    </row>
    <row r="149" spans="2:22" x14ac:dyDescent="0.25">
      <c r="B149" s="1" t="str">
        <f>A9</f>
        <v>X:</v>
      </c>
      <c r="D149" s="1" t="str">
        <f t="shared" si="19"/>
        <v>MAGNUM</v>
      </c>
      <c r="E149" s="1" t="str">
        <f t="shared" si="18"/>
        <v>X:\RUM's\MAGNUM</v>
      </c>
      <c r="F149" s="12" t="s">
        <v>175</v>
      </c>
      <c r="T149" s="1" t="str">
        <f t="shared" si="20"/>
        <v>HURLEY</v>
      </c>
      <c r="U149" s="1" t="str">
        <f t="shared" si="21"/>
        <v>X:\@APPAREL FOR ALL\HURLEY</v>
      </c>
      <c r="V149" s="12" t="s">
        <v>607</v>
      </c>
    </row>
    <row r="150" spans="2:22" x14ac:dyDescent="0.25">
      <c r="B150" s="1" t="str">
        <f>A9</f>
        <v>X:</v>
      </c>
      <c r="D150" s="1" t="str">
        <f t="shared" si="19"/>
        <v>MAKERS</v>
      </c>
      <c r="E150" s="1" t="str">
        <f t="shared" si="18"/>
        <v>X:\RUM's\MAKERS</v>
      </c>
      <c r="F150" s="12" t="s">
        <v>176</v>
      </c>
      <c r="T150" s="1" t="str">
        <f t="shared" si="20"/>
        <v>I LOVE UGLY</v>
      </c>
      <c r="U150" s="1" t="str">
        <f t="shared" si="21"/>
        <v>X:\@APPAREL FOR ALL\I LOVE UGLY</v>
      </c>
      <c r="V150" s="12" t="s">
        <v>608</v>
      </c>
    </row>
    <row r="151" spans="2:22" x14ac:dyDescent="0.25">
      <c r="B151" s="1" t="str">
        <f>A9</f>
        <v>X:</v>
      </c>
      <c r="D151" s="1" t="str">
        <f t="shared" si="19"/>
        <v>MARCECKO</v>
      </c>
      <c r="E151" s="1" t="str">
        <f t="shared" si="18"/>
        <v>X:\RUM's\MARCECKO</v>
      </c>
      <c r="F151" s="12" t="s">
        <v>177</v>
      </c>
      <c r="T151" s="1" t="str">
        <f t="shared" si="20"/>
        <v>ICEBREAKER</v>
      </c>
      <c r="U151" s="1" t="str">
        <f t="shared" si="21"/>
        <v>X:\@APPAREL FOR ALL\ICEBREAKER</v>
      </c>
      <c r="V151" s="12" t="s">
        <v>609</v>
      </c>
    </row>
    <row r="152" spans="2:22" x14ac:dyDescent="0.25">
      <c r="B152" s="1" t="str">
        <f>A9</f>
        <v>X:</v>
      </c>
      <c r="D152" s="1" t="str">
        <f t="shared" si="19"/>
        <v>MARK NASON</v>
      </c>
      <c r="E152" s="1" t="str">
        <f t="shared" si="18"/>
        <v>X:\RUM's\MARK NASON</v>
      </c>
      <c r="F152" s="12" t="s">
        <v>178</v>
      </c>
      <c r="T152" s="1" t="str">
        <f t="shared" si="20"/>
        <v>ILLUMINITE</v>
      </c>
      <c r="U152" s="1" t="str">
        <f t="shared" si="21"/>
        <v>X:\@APPAREL FOR ALL\ILLUMINITE</v>
      </c>
      <c r="V152" s="12" t="s">
        <v>610</v>
      </c>
    </row>
    <row r="153" spans="2:22" x14ac:dyDescent="0.25">
      <c r="B153" s="1" t="str">
        <f>A9</f>
        <v>X:</v>
      </c>
      <c r="D153" s="1" t="str">
        <f t="shared" si="19"/>
        <v>MELISSA</v>
      </c>
      <c r="E153" s="1" t="str">
        <f t="shared" si="18"/>
        <v>X:\RUM's\MELISSA</v>
      </c>
      <c r="F153" s="12" t="s">
        <v>179</v>
      </c>
      <c r="T153" s="1" t="str">
        <f t="shared" si="20"/>
        <v>ILLUSIVE</v>
      </c>
      <c r="U153" s="1" t="str">
        <f t="shared" si="21"/>
        <v>X:\@APPAREL FOR ALL\ILLUSIVE</v>
      </c>
      <c r="V153" s="12" t="s">
        <v>611</v>
      </c>
    </row>
    <row r="154" spans="2:22" x14ac:dyDescent="0.25">
      <c r="B154" s="1" t="str">
        <f>A9</f>
        <v>X:</v>
      </c>
      <c r="D154" s="1" t="str">
        <f t="shared" si="19"/>
        <v>MEPHISTO</v>
      </c>
      <c r="E154" s="1" t="str">
        <f t="shared" si="18"/>
        <v>X:\RUM's\MEPHISTO</v>
      </c>
      <c r="F154" s="12" t="s">
        <v>180</v>
      </c>
      <c r="T154" s="1" t="str">
        <f t="shared" si="20"/>
        <v>INC</v>
      </c>
      <c r="U154" s="1" t="str">
        <f t="shared" si="21"/>
        <v>X:\@APPAREL FOR ALL\INC</v>
      </c>
      <c r="V154" s="12" t="s">
        <v>612</v>
      </c>
    </row>
    <row r="155" spans="2:22" x14ac:dyDescent="0.25">
      <c r="B155" s="1" t="str">
        <f>A9</f>
        <v>X:</v>
      </c>
      <c r="D155" s="1" t="str">
        <f t="shared" si="19"/>
        <v>MERRELL</v>
      </c>
      <c r="E155" s="1" t="str">
        <f t="shared" si="18"/>
        <v>X:\RUM's\MERRELL</v>
      </c>
      <c r="F155" s="12" t="s">
        <v>181</v>
      </c>
      <c r="T155" s="1" t="str">
        <f t="shared" si="20"/>
        <v>INVICTA</v>
      </c>
      <c r="U155" s="1" t="str">
        <f t="shared" si="21"/>
        <v>X:\@APPAREL FOR ALL\INVICTA</v>
      </c>
      <c r="V155" s="12" t="s">
        <v>613</v>
      </c>
    </row>
    <row r="156" spans="2:22" x14ac:dyDescent="0.25">
      <c r="B156" s="1" t="str">
        <f>A9</f>
        <v>X:</v>
      </c>
      <c r="D156" s="1" t="str">
        <f t="shared" si="19"/>
        <v>MIA</v>
      </c>
      <c r="E156" s="1" t="str">
        <f t="shared" si="18"/>
        <v>X:\RUM's\MIA</v>
      </c>
      <c r="F156" s="12" t="s">
        <v>182</v>
      </c>
      <c r="T156" s="1" t="str">
        <f t="shared" si="20"/>
        <v>IZOD</v>
      </c>
      <c r="U156" s="1" t="str">
        <f t="shared" si="21"/>
        <v>X:\@APPAREL FOR ALL\IZOD</v>
      </c>
      <c r="V156" s="12" t="s">
        <v>614</v>
      </c>
    </row>
    <row r="157" spans="2:22" x14ac:dyDescent="0.25">
      <c r="B157" s="1" t="str">
        <f>A9</f>
        <v>X:</v>
      </c>
      <c r="D157" s="1" t="str">
        <f t="shared" si="19"/>
        <v>MICHAEL KORS</v>
      </c>
      <c r="E157" s="1" t="str">
        <f t="shared" si="18"/>
        <v>X:\RUM's\MICHAEL KORS</v>
      </c>
      <c r="F157" s="12" t="s">
        <v>183</v>
      </c>
      <c r="T157" s="1" t="str">
        <f t="shared" si="20"/>
        <v>J AMERICA</v>
      </c>
      <c r="U157" s="1" t="str">
        <f t="shared" si="21"/>
        <v>X:\@APPAREL FOR ALL\J AMERICA</v>
      </c>
      <c r="V157" s="12" t="s">
        <v>615</v>
      </c>
    </row>
    <row r="158" spans="2:22" x14ac:dyDescent="0.25">
      <c r="B158" s="1" t="str">
        <f>A9</f>
        <v>X:</v>
      </c>
      <c r="D158" s="1" t="str">
        <f t="shared" si="19"/>
        <v>MINI MELISSA</v>
      </c>
      <c r="E158" s="1" t="str">
        <f t="shared" si="18"/>
        <v>X:\RUM's\MINI MELISSA</v>
      </c>
      <c r="F158" s="12" t="s">
        <v>184</v>
      </c>
      <c r="T158" s="1" t="str">
        <f t="shared" si="20"/>
        <v>JACKRABBIT</v>
      </c>
      <c r="U158" s="1" t="str">
        <f t="shared" si="21"/>
        <v>X:\@APPAREL FOR ALL\JACKRABBIT</v>
      </c>
      <c r="V158" s="12" t="s">
        <v>616</v>
      </c>
    </row>
    <row r="159" spans="2:22" x14ac:dyDescent="0.25">
      <c r="B159" s="1" t="str">
        <f>A9</f>
        <v>X:</v>
      </c>
      <c r="D159" s="1" t="str">
        <f t="shared" si="19"/>
        <v>MINNETONKA</v>
      </c>
      <c r="E159" s="1" t="str">
        <f t="shared" si="18"/>
        <v>X:\RUM's\MINNETONKA</v>
      </c>
      <c r="F159" s="12" t="s">
        <v>185</v>
      </c>
      <c r="T159" s="1" t="str">
        <f t="shared" si="20"/>
        <v>JANJI</v>
      </c>
      <c r="U159" s="1" t="str">
        <f t="shared" si="21"/>
        <v>X:\@APPAREL FOR ALL\JANJI</v>
      </c>
      <c r="V159" s="12" t="s">
        <v>617</v>
      </c>
    </row>
    <row r="160" spans="2:22" x14ac:dyDescent="0.25">
      <c r="B160" s="1" t="str">
        <f>A9</f>
        <v>X:</v>
      </c>
      <c r="D160" s="1" t="str">
        <f t="shared" si="19"/>
        <v>MIZUNO</v>
      </c>
      <c r="E160" s="1" t="str">
        <f t="shared" si="18"/>
        <v>X:\RUM's\MIZUNO</v>
      </c>
      <c r="F160" s="12" t="s">
        <v>186</v>
      </c>
      <c r="T160" s="1" t="str">
        <f t="shared" si="20"/>
        <v>JANSPORT</v>
      </c>
      <c r="U160" s="1" t="str">
        <f t="shared" si="21"/>
        <v>X:\@APPAREL FOR ALL\JANSPORT</v>
      </c>
      <c r="V160" s="12" t="s">
        <v>618</v>
      </c>
    </row>
    <row r="161" spans="2:22" x14ac:dyDescent="0.25">
      <c r="B161" s="1" t="str">
        <f>A9</f>
        <v>X:</v>
      </c>
      <c r="D161" s="1" t="str">
        <f t="shared" si="19"/>
        <v>MONTRAIL</v>
      </c>
      <c r="E161" s="1" t="str">
        <f t="shared" si="18"/>
        <v>X:\RUM's\MONTRAIL</v>
      </c>
      <c r="F161" s="12" t="s">
        <v>187</v>
      </c>
      <c r="T161" s="1" t="str">
        <f t="shared" si="20"/>
        <v>JASON MARKK</v>
      </c>
      <c r="U161" s="1" t="str">
        <f t="shared" si="21"/>
        <v>X:\@APPAREL FOR ALL\JASON MARKK</v>
      </c>
      <c r="V161" s="12" t="s">
        <v>619</v>
      </c>
    </row>
    <row r="162" spans="2:22" x14ac:dyDescent="0.25">
      <c r="B162" s="1" t="str">
        <f>A9</f>
        <v>X:</v>
      </c>
      <c r="D162" s="1" t="str">
        <f t="shared" si="19"/>
        <v>NAOT</v>
      </c>
      <c r="E162" s="1" t="str">
        <f t="shared" si="18"/>
        <v>X:\RUM's\NAOT</v>
      </c>
      <c r="F162" s="12" t="s">
        <v>188</v>
      </c>
      <c r="T162" s="1" t="str">
        <f t="shared" si="20"/>
        <v>JH DESIGN</v>
      </c>
      <c r="U162" s="1" t="str">
        <f t="shared" si="21"/>
        <v>X:\@APPAREL FOR ALL\JH DESIGN</v>
      </c>
      <c r="V162" s="12" t="s">
        <v>620</v>
      </c>
    </row>
    <row r="163" spans="2:22" x14ac:dyDescent="0.25">
      <c r="B163" s="1" t="str">
        <f>A9</f>
        <v>X:</v>
      </c>
      <c r="D163" s="1" t="str">
        <f t="shared" si="19"/>
        <v>NATIVE</v>
      </c>
      <c r="E163" s="1" t="str">
        <f t="shared" si="18"/>
        <v>X:\RUM's\NATIVE</v>
      </c>
      <c r="F163" s="12" t="s">
        <v>189</v>
      </c>
      <c r="T163" s="1" t="str">
        <f t="shared" si="20"/>
        <v>Jordan</v>
      </c>
      <c r="U163" s="1" t="str">
        <f t="shared" si="21"/>
        <v>X:\@APPAREL FOR ALL\Jordan</v>
      </c>
      <c r="V163" s="12" t="s">
        <v>621</v>
      </c>
    </row>
    <row r="164" spans="2:22" x14ac:dyDescent="0.25">
      <c r="B164" s="1" t="str">
        <f>A9</f>
        <v>X:</v>
      </c>
      <c r="D164" s="1" t="str">
        <f t="shared" si="19"/>
        <v>NEVADOS</v>
      </c>
      <c r="E164" s="1" t="str">
        <f t="shared" si="18"/>
        <v>X:\RUM's\NEVADOS</v>
      </c>
      <c r="F164" s="12" t="s">
        <v>190</v>
      </c>
      <c r="T164" s="1" t="str">
        <f t="shared" si="20"/>
        <v>JOUJOU</v>
      </c>
      <c r="U164" s="1" t="str">
        <f t="shared" si="21"/>
        <v>X:\@APPAREL FOR ALL\JOUJOU</v>
      </c>
      <c r="V164" s="12" t="s">
        <v>622</v>
      </c>
    </row>
    <row r="165" spans="2:22" x14ac:dyDescent="0.25">
      <c r="B165" s="1" t="str">
        <f>A9</f>
        <v>X:</v>
      </c>
      <c r="D165" s="1" t="str">
        <f t="shared" si="19"/>
        <v>NEW BALANCE</v>
      </c>
      <c r="E165" s="1" t="str">
        <f t="shared" si="18"/>
        <v>X:\RUM's\NEW BALANCE</v>
      </c>
      <c r="F165" s="12" t="s">
        <v>191</v>
      </c>
      <c r="T165" s="1" t="str">
        <f t="shared" si="20"/>
        <v>JUICY COUTURE</v>
      </c>
      <c r="U165" s="1" t="str">
        <f t="shared" si="21"/>
        <v>X:\@APPAREL FOR ALL\JUICY COUTURE</v>
      </c>
      <c r="V165" s="12" t="s">
        <v>623</v>
      </c>
    </row>
    <row r="166" spans="2:22" x14ac:dyDescent="0.25">
      <c r="B166" s="1" t="str">
        <f>A9</f>
        <v>X:</v>
      </c>
      <c r="D166" s="1" t="str">
        <f t="shared" si="19"/>
        <v>NEWTON</v>
      </c>
      <c r="E166" s="1" t="str">
        <f t="shared" si="18"/>
        <v>X:\RUM's\NEWTON</v>
      </c>
      <c r="F166" s="12" t="s">
        <v>192</v>
      </c>
      <c r="T166" s="1" t="str">
        <f t="shared" si="20"/>
        <v>JUNKFOOD CLOTHING</v>
      </c>
      <c r="U166" s="1" t="str">
        <f t="shared" si="21"/>
        <v>X:\@APPAREL FOR ALL\JUNKFOOD CLOTHING</v>
      </c>
      <c r="V166" s="12" t="s">
        <v>624</v>
      </c>
    </row>
    <row r="167" spans="2:22" x14ac:dyDescent="0.25">
      <c r="B167" s="1" t="str">
        <f>A9</f>
        <v>X:</v>
      </c>
      <c r="D167" s="1" t="str">
        <f t="shared" si="19"/>
        <v>NIKE</v>
      </c>
      <c r="E167" s="1" t="str">
        <f t="shared" si="18"/>
        <v>X:\RUM's\NIKE</v>
      </c>
      <c r="F167" s="12" t="s">
        <v>193</v>
      </c>
      <c r="T167" s="1" t="str">
        <f t="shared" si="20"/>
        <v>KATE MARIE</v>
      </c>
      <c r="U167" s="1" t="str">
        <f t="shared" si="21"/>
        <v>X:\@APPAREL FOR ALL\KATE MARIE</v>
      </c>
      <c r="V167" s="12" t="s">
        <v>625</v>
      </c>
    </row>
    <row r="168" spans="2:22" x14ac:dyDescent="0.25">
      <c r="B168" s="1" t="str">
        <f>A9</f>
        <v>X:</v>
      </c>
      <c r="D168" s="1" t="str">
        <f t="shared" si="19"/>
        <v>NINE WEST</v>
      </c>
      <c r="E168" s="1" t="str">
        <f t="shared" si="18"/>
        <v>X:\RUM's\NINE WEST</v>
      </c>
      <c r="F168" s="12" t="s">
        <v>194</v>
      </c>
      <c r="T168" s="1" t="str">
        <f t="shared" si="20"/>
        <v>KAVU</v>
      </c>
      <c r="U168" s="1" t="str">
        <f t="shared" si="21"/>
        <v>X:\@APPAREL FOR ALL\KAVU</v>
      </c>
      <c r="V168" s="12" t="s">
        <v>626</v>
      </c>
    </row>
    <row r="169" spans="2:22" x14ac:dyDescent="0.25">
      <c r="B169" s="1" t="str">
        <f>A9</f>
        <v>X:</v>
      </c>
      <c r="D169" s="1" t="str">
        <f t="shared" si="19"/>
        <v>NORTH FACE</v>
      </c>
      <c r="E169" s="1" t="str">
        <f t="shared" si="18"/>
        <v>X:\RUM's\NORTH FACE</v>
      </c>
      <c r="F169" s="12" t="s">
        <v>195</v>
      </c>
      <c r="T169" s="1" t="str">
        <f t="shared" si="20"/>
        <v>KEEP A BREAST FOUNDATION</v>
      </c>
      <c r="U169" s="1" t="str">
        <f t="shared" si="21"/>
        <v>X:\@APPAREL FOR ALL\KEEP A BREAST FOUNDATION</v>
      </c>
      <c r="V169" s="12" t="s">
        <v>627</v>
      </c>
    </row>
    <row r="170" spans="2:22" x14ac:dyDescent="0.25">
      <c r="B170" s="1" t="str">
        <f>A9</f>
        <v>X:</v>
      </c>
      <c r="D170" s="1" t="str">
        <f t="shared" si="19"/>
        <v>NUNN BUSH</v>
      </c>
      <c r="E170" s="1" t="str">
        <f t="shared" si="18"/>
        <v>X:\RUM's\NUNN BUSH</v>
      </c>
      <c r="F170" s="12" t="s">
        <v>196</v>
      </c>
      <c r="T170" s="1" t="str">
        <f t="shared" si="20"/>
        <v>KEVINS</v>
      </c>
      <c r="U170" s="1" t="str">
        <f t="shared" si="21"/>
        <v>X:\@APPAREL FOR ALL\KEVINS</v>
      </c>
      <c r="V170" s="12" t="s">
        <v>628</v>
      </c>
    </row>
    <row r="171" spans="2:22" x14ac:dyDescent="0.25">
      <c r="B171" s="1" t="str">
        <f>A9</f>
        <v>X:</v>
      </c>
      <c r="D171" s="1" t="str">
        <f t="shared" si="19"/>
        <v>OBOZ</v>
      </c>
      <c r="E171" s="1" t="str">
        <f t="shared" si="18"/>
        <v>X:\RUM's\OBOZ</v>
      </c>
      <c r="F171" s="12" t="s">
        <v>197</v>
      </c>
      <c r="T171" s="1" t="str">
        <f t="shared" si="20"/>
        <v>KIPLING</v>
      </c>
      <c r="U171" s="1" t="str">
        <f t="shared" si="21"/>
        <v>X:\@APPAREL FOR ALL\KIPLING</v>
      </c>
      <c r="V171" s="12" t="s">
        <v>629</v>
      </c>
    </row>
    <row r="172" spans="2:22" x14ac:dyDescent="0.25">
      <c r="B172" s="1" t="str">
        <f>A9</f>
        <v>X:</v>
      </c>
      <c r="D172" s="1" t="str">
        <f t="shared" si="19"/>
        <v>OLD WEST</v>
      </c>
      <c r="E172" s="1" t="str">
        <f t="shared" si="18"/>
        <v>X:\RUM's\OLD WEST</v>
      </c>
      <c r="F172" s="12" t="s">
        <v>198</v>
      </c>
      <c r="T172" s="1" t="str">
        <f t="shared" si="20"/>
        <v>KLEW</v>
      </c>
      <c r="U172" s="1" t="str">
        <f t="shared" si="21"/>
        <v>X:\@APPAREL FOR ALL\KLEW</v>
      </c>
      <c r="V172" s="12" t="s">
        <v>630</v>
      </c>
    </row>
    <row r="173" spans="2:22" x14ac:dyDescent="0.25">
      <c r="B173" s="1" t="str">
        <f>A9</f>
        <v>X:</v>
      </c>
      <c r="D173" s="1" t="str">
        <f t="shared" si="19"/>
        <v>OLUKAI</v>
      </c>
      <c r="E173" s="1" t="str">
        <f t="shared" si="18"/>
        <v>X:\RUM's\OLUKAI</v>
      </c>
      <c r="F173" s="12" t="s">
        <v>199</v>
      </c>
      <c r="T173" s="1" t="str">
        <f t="shared" si="20"/>
        <v>KNIGHTS APPAREL</v>
      </c>
      <c r="U173" s="1" t="str">
        <f t="shared" si="21"/>
        <v>X:\@APPAREL FOR ALL\KNIGHTS APPAREL</v>
      </c>
      <c r="V173" s="12" t="s">
        <v>631</v>
      </c>
    </row>
    <row r="174" spans="2:22" x14ac:dyDescent="0.25">
      <c r="B174" s="1" t="str">
        <f>A9</f>
        <v>X:</v>
      </c>
      <c r="D174" s="1" t="str">
        <f t="shared" si="19"/>
        <v>ON</v>
      </c>
      <c r="E174" s="1" t="str">
        <f t="shared" si="18"/>
        <v>X:\RUM's\ON</v>
      </c>
      <c r="F174" s="12" t="s">
        <v>200</v>
      </c>
      <c r="T174" s="1" t="str">
        <f t="shared" si="20"/>
        <v>KOMONO</v>
      </c>
      <c r="U174" s="1" t="str">
        <f t="shared" si="21"/>
        <v>X:\@APPAREL FOR ALL\KOMONO</v>
      </c>
      <c r="V174" s="12" t="s">
        <v>632</v>
      </c>
    </row>
    <row r="175" spans="2:22" x14ac:dyDescent="0.25">
      <c r="B175" s="1" t="str">
        <f>A9</f>
        <v>X:</v>
      </c>
      <c r="D175" s="1" t="str">
        <f t="shared" si="19"/>
        <v>OOFOS</v>
      </c>
      <c r="E175" s="1" t="str">
        <f t="shared" si="18"/>
        <v>X:\RUM's\OOFOS</v>
      </c>
      <c r="F175" s="12" t="s">
        <v>201</v>
      </c>
      <c r="T175" s="1" t="str">
        <f t="shared" si="20"/>
        <v>KSWISS</v>
      </c>
      <c r="U175" s="1" t="str">
        <f t="shared" si="21"/>
        <v>X:\@APPAREL FOR ALL\KSWISS</v>
      </c>
      <c r="V175" s="12" t="s">
        <v>633</v>
      </c>
    </row>
    <row r="176" spans="2:22" x14ac:dyDescent="0.25">
      <c r="B176" s="1" t="str">
        <f>A9</f>
        <v>X:</v>
      </c>
      <c r="D176" s="1" t="str">
        <f t="shared" si="19"/>
        <v>OSIRIS</v>
      </c>
      <c r="E176" s="1" t="str">
        <f t="shared" si="18"/>
        <v>X:\RUM's\OSIRIS</v>
      </c>
      <c r="F176" s="12" t="s">
        <v>202</v>
      </c>
      <c r="T176" s="1" t="str">
        <f t="shared" si="20"/>
        <v>LA SPORTIVA</v>
      </c>
      <c r="U176" s="1" t="str">
        <f t="shared" si="21"/>
        <v>X:\@APPAREL FOR ALL\LA SPORTIVA</v>
      </c>
      <c r="V176" s="12" t="s">
        <v>634</v>
      </c>
    </row>
    <row r="177" spans="2:22" x14ac:dyDescent="0.25">
      <c r="B177" s="1" t="str">
        <f>A9</f>
        <v>X:</v>
      </c>
      <c r="D177" s="1" t="str">
        <f t="shared" si="19"/>
        <v>OTAH</v>
      </c>
      <c r="E177" s="1" t="str">
        <f t="shared" si="18"/>
        <v>X:\RUM's\OTAH</v>
      </c>
      <c r="F177" s="12" t="s">
        <v>203</v>
      </c>
      <c r="T177" s="1" t="str">
        <f t="shared" si="20"/>
        <v>LACOSTE</v>
      </c>
      <c r="U177" s="1" t="str">
        <f t="shared" si="21"/>
        <v>X:\@APPAREL FOR ALL\LACOSTE</v>
      </c>
      <c r="V177" s="12" t="s">
        <v>635</v>
      </c>
    </row>
    <row r="178" spans="2:22" x14ac:dyDescent="0.25">
      <c r="B178" s="1" t="str">
        <f>A9</f>
        <v>X:</v>
      </c>
      <c r="D178" s="1" t="str">
        <f t="shared" si="19"/>
        <v>OTBT</v>
      </c>
      <c r="E178" s="1" t="str">
        <f t="shared" si="18"/>
        <v>X:\RUM's\OTBT</v>
      </c>
      <c r="F178" s="12" t="s">
        <v>204</v>
      </c>
      <c r="T178" s="1" t="str">
        <f t="shared" si="20"/>
        <v>LEGENDS SPORTSWEAR</v>
      </c>
      <c r="U178" s="1" t="str">
        <f t="shared" si="21"/>
        <v>X:\@APPAREL FOR ALL\LEGENDS SPORTSWEAR</v>
      </c>
      <c r="V178" s="12" t="s">
        <v>636</v>
      </c>
    </row>
    <row r="179" spans="2:22" x14ac:dyDescent="0.25">
      <c r="B179" s="1" t="str">
        <f>A9</f>
        <v>X:</v>
      </c>
      <c r="D179" s="1" t="str">
        <f t="shared" si="19"/>
        <v>OTZ</v>
      </c>
      <c r="E179" s="1" t="str">
        <f t="shared" si="18"/>
        <v>X:\RUM's\OTZ</v>
      </c>
      <c r="F179" s="12" t="s">
        <v>205</v>
      </c>
      <c r="T179" s="1" t="str">
        <f t="shared" si="20"/>
        <v>LEI</v>
      </c>
      <c r="U179" s="1" t="str">
        <f t="shared" si="21"/>
        <v>X:\@APPAREL FOR ALL\LEI</v>
      </c>
      <c r="V179" s="12" t="s">
        <v>637</v>
      </c>
    </row>
    <row r="180" spans="2:22" x14ac:dyDescent="0.25">
      <c r="B180" s="1" t="str">
        <f>A9</f>
        <v>X:</v>
      </c>
      <c r="D180" s="1" t="str">
        <f t="shared" si="19"/>
        <v>PACIFIC MOUNTAIN</v>
      </c>
      <c r="E180" s="1" t="str">
        <f t="shared" si="18"/>
        <v>X:\RUM's\PACIFIC MOUNTAIN</v>
      </c>
      <c r="F180" s="12" t="s">
        <v>206</v>
      </c>
      <c r="T180" s="1" t="str">
        <f t="shared" si="20"/>
        <v>LEVI</v>
      </c>
      <c r="U180" s="1" t="str">
        <f t="shared" si="21"/>
        <v>X:\@APPAREL FOR ALL\LEVI</v>
      </c>
      <c r="V180" s="12" t="s">
        <v>638</v>
      </c>
    </row>
    <row r="181" spans="2:22" x14ac:dyDescent="0.25">
      <c r="B181" s="1" t="str">
        <f>A9</f>
        <v>X:</v>
      </c>
      <c r="D181" s="1" t="str">
        <f t="shared" si="19"/>
        <v>PACIFIC TRAIL</v>
      </c>
      <c r="E181" s="1" t="str">
        <f t="shared" si="18"/>
        <v>X:\RUM's\PACIFIC TRAIL</v>
      </c>
      <c r="F181" s="12" t="s">
        <v>207</v>
      </c>
      <c r="T181" s="1" t="str">
        <f t="shared" si="20"/>
        <v>LEVIS</v>
      </c>
      <c r="U181" s="1" t="str">
        <f t="shared" si="21"/>
        <v>X:\@APPAREL FOR ALL\LEVIS</v>
      </c>
      <c r="V181" s="12" t="s">
        <v>639</v>
      </c>
    </row>
    <row r="182" spans="2:22" x14ac:dyDescent="0.25">
      <c r="B182" s="1" t="str">
        <f>A9</f>
        <v>X:</v>
      </c>
      <c r="D182" s="1" t="str">
        <f t="shared" si="19"/>
        <v>PALLADIUM</v>
      </c>
      <c r="E182" s="1" t="str">
        <f t="shared" si="18"/>
        <v>X:\RUM's\PALLADIUM</v>
      </c>
      <c r="F182" s="12" t="s">
        <v>208</v>
      </c>
      <c r="T182" s="1" t="str">
        <f t="shared" si="20"/>
        <v>LIJA STYLE</v>
      </c>
      <c r="U182" s="1" t="str">
        <f t="shared" si="21"/>
        <v>X:\@APPAREL FOR ALL\LIJA STYLE</v>
      </c>
      <c r="V182" s="12" t="s">
        <v>640</v>
      </c>
    </row>
    <row r="183" spans="2:22" x14ac:dyDescent="0.25">
      <c r="B183" s="1" t="str">
        <f>A9</f>
        <v>X:</v>
      </c>
      <c r="D183" s="1" t="str">
        <f t="shared" si="19"/>
        <v>PAPILLIO</v>
      </c>
      <c r="E183" s="1" t="str">
        <f t="shared" si="18"/>
        <v>X:\RUM's\PAPILLIO</v>
      </c>
      <c r="F183" s="12" t="s">
        <v>209</v>
      </c>
      <c r="T183" s="1" t="str">
        <f t="shared" si="20"/>
        <v>LOCAL SUPPLY</v>
      </c>
      <c r="U183" s="1" t="str">
        <f t="shared" si="21"/>
        <v>X:\@APPAREL FOR ALL\LOCAL SUPPLY</v>
      </c>
      <c r="V183" s="12" t="s">
        <v>641</v>
      </c>
    </row>
    <row r="184" spans="2:22" x14ac:dyDescent="0.25">
      <c r="B184" s="1" t="str">
        <f>A9</f>
        <v>X:</v>
      </c>
      <c r="D184" s="1" t="str">
        <f t="shared" si="19"/>
        <v>PASTRY</v>
      </c>
      <c r="E184" s="1" t="str">
        <f t="shared" si="18"/>
        <v>X:\RUM's\PASTRY</v>
      </c>
      <c r="F184" s="12" t="s">
        <v>210</v>
      </c>
      <c r="T184" s="1" t="str">
        <f t="shared" si="20"/>
        <v>LOFT</v>
      </c>
      <c r="U184" s="1" t="str">
        <f t="shared" si="21"/>
        <v>X:\@APPAREL FOR ALL\LOFT</v>
      </c>
      <c r="V184" s="12" t="s">
        <v>642</v>
      </c>
    </row>
    <row r="185" spans="2:22" x14ac:dyDescent="0.25">
      <c r="B185" s="1" t="str">
        <f>A9</f>
        <v>X:</v>
      </c>
      <c r="D185" s="1" t="str">
        <f t="shared" si="19"/>
        <v>PEARL IZUMI</v>
      </c>
      <c r="E185" s="1" t="str">
        <f t="shared" si="18"/>
        <v>X:\RUM's\PEARL IZUMI</v>
      </c>
      <c r="F185" s="12" t="s">
        <v>211</v>
      </c>
      <c r="T185" s="1" t="str">
        <f t="shared" si="20"/>
        <v>LOL</v>
      </c>
      <c r="U185" s="1" t="str">
        <f t="shared" si="21"/>
        <v>X:\@APPAREL FOR ALL\LOL</v>
      </c>
      <c r="V185" s="12" t="s">
        <v>643</v>
      </c>
    </row>
    <row r="186" spans="2:22" x14ac:dyDescent="0.25">
      <c r="B186" s="1" t="str">
        <f>A9</f>
        <v>X:</v>
      </c>
      <c r="D186" s="1" t="str">
        <f t="shared" si="19"/>
        <v>PENGUIN</v>
      </c>
      <c r="E186" s="1" t="str">
        <f t="shared" si="18"/>
        <v>X:\RUM's\PENGUIN</v>
      </c>
      <c r="F186" s="12" t="s">
        <v>212</v>
      </c>
      <c r="T186" s="1" t="str">
        <f t="shared" si="20"/>
        <v>LOL SURPRISE</v>
      </c>
      <c r="U186" s="1" t="str">
        <f t="shared" si="21"/>
        <v>X:\@APPAREL FOR ALL\LOL SURPRISE</v>
      </c>
      <c r="V186" s="12" t="s">
        <v>644</v>
      </c>
    </row>
    <row r="187" spans="2:22" x14ac:dyDescent="0.25">
      <c r="B187" s="1" t="str">
        <f>A9</f>
        <v>X:</v>
      </c>
      <c r="D187" s="1" t="str">
        <f t="shared" si="19"/>
        <v>PEOPLE</v>
      </c>
      <c r="E187" s="1" t="str">
        <f t="shared" si="18"/>
        <v>X:\RUM's\PEOPLE</v>
      </c>
      <c r="F187" s="12" t="s">
        <v>213</v>
      </c>
      <c r="T187" s="1" t="str">
        <f t="shared" si="20"/>
        <v>LOLE</v>
      </c>
      <c r="U187" s="1" t="str">
        <f t="shared" si="21"/>
        <v>X:\@APPAREL FOR ALL\LOLE</v>
      </c>
      <c r="V187" s="12" t="s">
        <v>645</v>
      </c>
    </row>
    <row r="188" spans="2:22" x14ac:dyDescent="0.25">
      <c r="B188" s="1" t="str">
        <f>A9</f>
        <v>X:</v>
      </c>
      <c r="D188" s="1" t="str">
        <f t="shared" si="19"/>
        <v>PF FLYERS</v>
      </c>
      <c r="E188" s="1" t="str">
        <f t="shared" si="18"/>
        <v>X:\RUM's\PF FLYERS</v>
      </c>
      <c r="F188" s="12" t="s">
        <v>214</v>
      </c>
      <c r="T188" s="1" t="str">
        <f t="shared" si="20"/>
        <v>LOOKSEE</v>
      </c>
      <c r="U188" s="1" t="str">
        <f t="shared" si="21"/>
        <v>X:\@APPAREL FOR ALL\LOOKSEE</v>
      </c>
      <c r="V188" s="12" t="s">
        <v>646</v>
      </c>
    </row>
    <row r="189" spans="2:22" x14ac:dyDescent="0.25">
      <c r="B189" s="1" t="str">
        <f>A9</f>
        <v>X:</v>
      </c>
      <c r="D189" s="1" t="str">
        <f t="shared" si="19"/>
        <v>PIKOLINOS</v>
      </c>
      <c r="E189" s="1" t="str">
        <f t="shared" si="18"/>
        <v>X:\RUM's\PIKOLINOS</v>
      </c>
      <c r="F189" s="12" t="s">
        <v>215</v>
      </c>
      <c r="T189" s="1" t="str">
        <f t="shared" si="20"/>
        <v>LOU &amp; GREY</v>
      </c>
      <c r="U189" s="1" t="str">
        <f t="shared" si="21"/>
        <v>X:\@APPAREL FOR ALL\LOU &amp; GREY</v>
      </c>
      <c r="V189" s="12" t="s">
        <v>647</v>
      </c>
    </row>
    <row r="190" spans="2:22" x14ac:dyDescent="0.25">
      <c r="B190" s="1" t="str">
        <f>A9</f>
        <v>X:</v>
      </c>
      <c r="D190" s="1" t="str">
        <f t="shared" si="19"/>
        <v>POLO RALPH LAUREN</v>
      </c>
      <c r="E190" s="1" t="str">
        <f t="shared" si="18"/>
        <v>X:\RUM's\POLO RALPH LAUREN</v>
      </c>
      <c r="F190" s="12" t="s">
        <v>216</v>
      </c>
      <c r="T190" s="1" t="str">
        <f t="shared" si="20"/>
        <v>LOUIS GARNEAU</v>
      </c>
      <c r="U190" s="1" t="str">
        <f t="shared" si="21"/>
        <v>X:\@APPAREL FOR ALL\LOUIS GARNEAU</v>
      </c>
      <c r="V190" s="12" t="s">
        <v>648</v>
      </c>
    </row>
    <row r="191" spans="2:22" x14ac:dyDescent="0.25">
      <c r="B191" s="1" t="str">
        <f>A9</f>
        <v>X:</v>
      </c>
      <c r="D191" s="1" t="str">
        <f t="shared" si="19"/>
        <v>PONY</v>
      </c>
      <c r="E191" s="1" t="str">
        <f t="shared" si="18"/>
        <v>X:\RUM's\PONY</v>
      </c>
      <c r="F191" s="12" t="s">
        <v>217</v>
      </c>
      <c r="T191" s="1" t="str">
        <f t="shared" si="20"/>
        <v>LUCY</v>
      </c>
      <c r="U191" s="1" t="str">
        <f t="shared" si="21"/>
        <v>X:\@APPAREL FOR ALL\LUCY</v>
      </c>
      <c r="V191" s="12" t="s">
        <v>649</v>
      </c>
    </row>
    <row r="192" spans="2:22" x14ac:dyDescent="0.25">
      <c r="B192" s="1" t="str">
        <f>A9</f>
        <v>X:</v>
      </c>
      <c r="D192" s="1" t="str">
        <f t="shared" si="19"/>
        <v>PRADA</v>
      </c>
      <c r="E192" s="1" t="str">
        <f t="shared" si="18"/>
        <v>X:\RUM's\PRADA</v>
      </c>
      <c r="F192" s="12" t="s">
        <v>218</v>
      </c>
      <c r="T192" s="1" t="str">
        <f t="shared" si="20"/>
        <v>MAJESTIC</v>
      </c>
      <c r="U192" s="1" t="str">
        <f t="shared" si="21"/>
        <v>X:\@APPAREL FOR ALL\MAJESTIC</v>
      </c>
      <c r="V192" s="12" t="s">
        <v>650</v>
      </c>
    </row>
    <row r="193" spans="2:22" x14ac:dyDescent="0.25">
      <c r="B193" s="1" t="str">
        <f>A9</f>
        <v>X:</v>
      </c>
      <c r="D193" s="1" t="str">
        <f t="shared" si="19"/>
        <v>PRINCE</v>
      </c>
      <c r="E193" s="1" t="str">
        <f t="shared" si="18"/>
        <v>X:\RUM's\PRINCE</v>
      </c>
      <c r="F193" s="12" t="s">
        <v>219</v>
      </c>
      <c r="T193" s="1" t="str">
        <f t="shared" si="20"/>
        <v>MAMIA</v>
      </c>
      <c r="U193" s="1" t="str">
        <f t="shared" si="21"/>
        <v>X:\@APPAREL FOR ALL\MAMIA</v>
      </c>
      <c r="V193" s="12" t="s">
        <v>651</v>
      </c>
    </row>
    <row r="194" spans="2:22" x14ac:dyDescent="0.25">
      <c r="B194" s="1" t="str">
        <f>A9</f>
        <v>X:</v>
      </c>
      <c r="D194" s="1" t="str">
        <f t="shared" si="19"/>
        <v>PROJECT EMOTION</v>
      </c>
      <c r="E194" s="1" t="str">
        <f t="shared" ref="E194:E257" si="22">CONCATENATE(B194,F194)</f>
        <v>X:\RUM's\PROJECT EMOTION</v>
      </c>
      <c r="F194" s="12" t="s">
        <v>220</v>
      </c>
      <c r="T194" s="1" t="str">
        <f t="shared" si="20"/>
        <v>MARK</v>
      </c>
      <c r="U194" s="1" t="str">
        <f t="shared" si="21"/>
        <v>X:\@APPAREL FOR ALL\MARK</v>
      </c>
      <c r="V194" s="12" t="s">
        <v>652</v>
      </c>
    </row>
    <row r="195" spans="2:22" x14ac:dyDescent="0.25">
      <c r="B195" s="1" t="str">
        <f>A9</f>
        <v>X:</v>
      </c>
      <c r="D195" s="1" t="str">
        <f t="shared" ref="D195:D258" si="23">SUBSTITUTE(E195,B195 &amp; "\RUM's\","")</f>
        <v>PROPET</v>
      </c>
      <c r="E195" s="1" t="str">
        <f t="shared" si="22"/>
        <v>X:\RUM's\PROPET</v>
      </c>
      <c r="F195" s="12" t="s">
        <v>221</v>
      </c>
      <c r="T195" s="1" t="str">
        <f t="shared" ref="T195:T258" si="24">SUBSTITUTE(U195,B195 &amp; "\@APPAREL FOR ALL\","")</f>
        <v>MARVEL</v>
      </c>
      <c r="U195" s="1" t="str">
        <f t="shared" ref="U195:U258" si="25">CONCATENATE(B195,V195)</f>
        <v>X:\@APPAREL FOR ALL\MARVEL</v>
      </c>
      <c r="V195" s="12" t="s">
        <v>653</v>
      </c>
    </row>
    <row r="196" spans="2:22" x14ac:dyDescent="0.25">
      <c r="B196" s="1" t="str">
        <f>A9</f>
        <v>X:</v>
      </c>
      <c r="D196" s="1" t="str">
        <f t="shared" si="23"/>
        <v>PROTEGE</v>
      </c>
      <c r="E196" s="1" t="str">
        <f t="shared" si="22"/>
        <v>X:\RUM's\PROTEGE</v>
      </c>
      <c r="F196" s="12" t="s">
        <v>222</v>
      </c>
      <c r="T196" s="1" t="str">
        <f t="shared" si="24"/>
        <v>MEISTER</v>
      </c>
      <c r="U196" s="1" t="str">
        <f t="shared" si="25"/>
        <v>X:\@APPAREL FOR ALL\MEISTER</v>
      </c>
      <c r="V196" s="12" t="s">
        <v>654</v>
      </c>
    </row>
    <row r="197" spans="2:22" x14ac:dyDescent="0.25">
      <c r="B197" s="1" t="str">
        <f>A9</f>
        <v>X:</v>
      </c>
      <c r="D197" s="1" t="str">
        <f t="shared" si="23"/>
        <v>PUMA</v>
      </c>
      <c r="E197" s="1" t="str">
        <f t="shared" si="22"/>
        <v>X:\RUM's\PUMA</v>
      </c>
      <c r="F197" s="12" t="s">
        <v>223</v>
      </c>
      <c r="T197" s="1" t="str">
        <f t="shared" si="24"/>
        <v>MICHAEL KORS</v>
      </c>
      <c r="U197" s="1" t="str">
        <f t="shared" si="25"/>
        <v>X:\@APPAREL FOR ALL\MICHAEL KORS</v>
      </c>
      <c r="V197" s="12" t="s">
        <v>655</v>
      </c>
    </row>
    <row r="198" spans="2:22" x14ac:dyDescent="0.25">
      <c r="B198" s="1" t="str">
        <f>A9</f>
        <v>X:</v>
      </c>
      <c r="D198" s="1" t="str">
        <f t="shared" si="23"/>
        <v>QUIKSILVER</v>
      </c>
      <c r="E198" s="1" t="str">
        <f t="shared" si="22"/>
        <v>X:\RUM's\QUIKSILVER</v>
      </c>
      <c r="F198" s="12" t="s">
        <v>224</v>
      </c>
      <c r="T198" s="1" t="str">
        <f t="shared" si="24"/>
        <v>MIO</v>
      </c>
      <c r="U198" s="1" t="str">
        <f t="shared" si="25"/>
        <v>X:\@APPAREL FOR ALL\MIO</v>
      </c>
      <c r="V198" s="12" t="s">
        <v>656</v>
      </c>
    </row>
    <row r="199" spans="2:22" x14ac:dyDescent="0.25">
      <c r="B199" s="1" t="str">
        <f>A9</f>
        <v>X:</v>
      </c>
      <c r="D199" s="1" t="str">
        <f t="shared" si="23"/>
        <v>RADII</v>
      </c>
      <c r="E199" s="1" t="str">
        <f t="shared" si="22"/>
        <v>X:\RUM's\RADII</v>
      </c>
      <c r="F199" s="12" t="s">
        <v>225</v>
      </c>
      <c r="T199" s="1" t="str">
        <f t="shared" si="24"/>
        <v>MISC</v>
      </c>
      <c r="U199" s="1" t="str">
        <f t="shared" si="25"/>
        <v>X:\@APPAREL FOR ALL\MISC</v>
      </c>
      <c r="V199" s="12" t="s">
        <v>657</v>
      </c>
    </row>
    <row r="200" spans="2:22" x14ac:dyDescent="0.25">
      <c r="B200" s="1" t="str">
        <f>A9</f>
        <v>X:</v>
      </c>
      <c r="D200" s="1" t="str">
        <f t="shared" si="23"/>
        <v>RAINBOW</v>
      </c>
      <c r="E200" s="1" t="str">
        <f t="shared" si="22"/>
        <v>X:\RUM's\RAINBOW</v>
      </c>
      <c r="F200" s="12" t="s">
        <v>226</v>
      </c>
      <c r="T200" s="1" t="str">
        <f t="shared" si="24"/>
        <v>MITCHELL &amp; NESS</v>
      </c>
      <c r="U200" s="1" t="str">
        <f t="shared" si="25"/>
        <v>X:\@APPAREL FOR ALL\MITCHELL &amp; NESS</v>
      </c>
      <c r="V200" s="12" t="s">
        <v>658</v>
      </c>
    </row>
    <row r="201" spans="2:22" x14ac:dyDescent="0.25">
      <c r="B201" s="1" t="str">
        <f>A9</f>
        <v>X:</v>
      </c>
      <c r="D201" s="1" t="str">
        <f t="shared" si="23"/>
        <v>RANSOM</v>
      </c>
      <c r="E201" s="1" t="str">
        <f t="shared" si="22"/>
        <v>X:\RUM's\RANSOM</v>
      </c>
      <c r="F201" s="12" t="s">
        <v>227</v>
      </c>
      <c r="T201" s="1" t="str">
        <f t="shared" si="24"/>
        <v>MIZUNO</v>
      </c>
      <c r="U201" s="1" t="str">
        <f t="shared" si="25"/>
        <v>X:\@APPAREL FOR ALL\MIZUNO</v>
      </c>
      <c r="V201" s="12" t="s">
        <v>659</v>
      </c>
    </row>
    <row r="202" spans="2:22" x14ac:dyDescent="0.25">
      <c r="B202" s="1" t="str">
        <f>A9</f>
        <v>X:</v>
      </c>
      <c r="D202" s="1" t="str">
        <f t="shared" si="23"/>
        <v>RED WING</v>
      </c>
      <c r="E202" s="1" t="str">
        <f t="shared" si="22"/>
        <v>X:\RUM's\RED WING</v>
      </c>
      <c r="F202" s="12" t="s">
        <v>228</v>
      </c>
      <c r="T202" s="1" t="str">
        <f t="shared" si="24"/>
        <v>MOHEEN</v>
      </c>
      <c r="U202" s="1" t="str">
        <f t="shared" si="25"/>
        <v>X:\@APPAREL FOR ALL\MOHEEN</v>
      </c>
      <c r="V202" s="12" t="s">
        <v>660</v>
      </c>
    </row>
    <row r="203" spans="2:22" x14ac:dyDescent="0.25">
      <c r="B203" s="1" t="str">
        <f>A9</f>
        <v>X:</v>
      </c>
      <c r="D203" s="1" t="str">
        <f t="shared" si="23"/>
        <v>REEBOK</v>
      </c>
      <c r="E203" s="1" t="str">
        <f t="shared" si="22"/>
        <v>X:\RUM's\REEBOK</v>
      </c>
      <c r="F203" s="12" t="s">
        <v>229</v>
      </c>
      <c r="T203" s="1" t="str">
        <f t="shared" si="24"/>
        <v>MONARCHY</v>
      </c>
      <c r="U203" s="1" t="str">
        <f t="shared" si="25"/>
        <v>X:\@APPAREL FOR ALL\MONARCHY</v>
      </c>
      <c r="V203" s="12" t="s">
        <v>661</v>
      </c>
    </row>
    <row r="204" spans="2:22" x14ac:dyDescent="0.25">
      <c r="B204" s="1" t="str">
        <f>A9</f>
        <v>X:</v>
      </c>
      <c r="D204" s="1" t="str">
        <f t="shared" si="23"/>
        <v>REEF</v>
      </c>
      <c r="E204" s="1" t="str">
        <f t="shared" si="22"/>
        <v>X:\RUM's\REEF</v>
      </c>
      <c r="F204" s="12" t="s">
        <v>230</v>
      </c>
      <c r="T204" s="1" t="str">
        <f t="shared" si="24"/>
        <v>MOSLEY TRIBES</v>
      </c>
      <c r="U204" s="1" t="str">
        <f t="shared" si="25"/>
        <v>X:\@APPAREL FOR ALL\MOSLEY TRIBES</v>
      </c>
      <c r="V204" s="12" t="s">
        <v>662</v>
      </c>
    </row>
    <row r="205" spans="2:22" x14ac:dyDescent="0.25">
      <c r="B205" s="1" t="str">
        <f>A9</f>
        <v>X:</v>
      </c>
      <c r="D205" s="1" t="str">
        <f t="shared" si="23"/>
        <v>REPORT</v>
      </c>
      <c r="E205" s="1" t="str">
        <f t="shared" si="22"/>
        <v>X:\RUM's\REPORT</v>
      </c>
      <c r="F205" s="12" t="s">
        <v>231</v>
      </c>
      <c r="T205" s="1" t="str">
        <f t="shared" si="24"/>
        <v>MOTOR TREND</v>
      </c>
      <c r="U205" s="1" t="str">
        <f t="shared" si="25"/>
        <v>X:\@APPAREL FOR ALL\MOTOR TREND</v>
      </c>
      <c r="V205" s="12" t="s">
        <v>663</v>
      </c>
    </row>
    <row r="206" spans="2:22" x14ac:dyDescent="0.25">
      <c r="B206" s="1" t="str">
        <f>A9</f>
        <v>X:</v>
      </c>
      <c r="D206" s="1" t="str">
        <f t="shared" si="23"/>
        <v>REVITALIGN</v>
      </c>
      <c r="E206" s="1" t="str">
        <f t="shared" si="22"/>
        <v>X:\RUM's\REVITALIGN</v>
      </c>
      <c r="F206" s="12" t="s">
        <v>232</v>
      </c>
      <c r="T206" s="1" t="str">
        <f t="shared" si="24"/>
        <v>MOVING COMFORT</v>
      </c>
      <c r="U206" s="1" t="str">
        <f t="shared" si="25"/>
        <v>X:\@APPAREL FOR ALL\MOVING COMFORT</v>
      </c>
      <c r="V206" s="12" t="s">
        <v>664</v>
      </c>
    </row>
    <row r="207" spans="2:22" x14ac:dyDescent="0.25">
      <c r="B207" s="1" t="str">
        <f>A9</f>
        <v>X:</v>
      </c>
      <c r="D207" s="1" t="str">
        <f t="shared" si="23"/>
        <v>RIDDELL</v>
      </c>
      <c r="E207" s="1" t="str">
        <f t="shared" si="22"/>
        <v>X:\RUM's\RIDDELL</v>
      </c>
      <c r="F207" s="12" t="s">
        <v>233</v>
      </c>
      <c r="T207" s="1" t="str">
        <f t="shared" si="24"/>
        <v>MPG</v>
      </c>
      <c r="U207" s="1" t="str">
        <f t="shared" si="25"/>
        <v>X:\@APPAREL FOR ALL\MPG</v>
      </c>
      <c r="V207" s="12" t="s">
        <v>665</v>
      </c>
    </row>
    <row r="208" spans="2:22" x14ac:dyDescent="0.25">
      <c r="B208" s="1" t="str">
        <f>A9</f>
        <v>X:</v>
      </c>
      <c r="D208" s="1" t="str">
        <f t="shared" si="23"/>
        <v>ROCAWEAR</v>
      </c>
      <c r="E208" s="1" t="str">
        <f t="shared" si="22"/>
        <v>X:\RUM's\ROCAWEAR</v>
      </c>
      <c r="F208" s="12" t="s">
        <v>234</v>
      </c>
      <c r="T208" s="1" t="str">
        <f t="shared" si="24"/>
        <v>MSS images</v>
      </c>
      <c r="U208" s="1" t="str">
        <f t="shared" si="25"/>
        <v>X:\@APPAREL FOR ALL\MSS images</v>
      </c>
      <c r="V208" s="12" t="s">
        <v>666</v>
      </c>
    </row>
    <row r="209" spans="2:22" x14ac:dyDescent="0.25">
      <c r="B209" s="1" t="str">
        <f>A9</f>
        <v>X:</v>
      </c>
      <c r="D209" s="1" t="str">
        <f t="shared" si="23"/>
        <v>ROCKET DOG</v>
      </c>
      <c r="E209" s="1" t="str">
        <f t="shared" si="22"/>
        <v>X:\RUM's\ROCKET DOG</v>
      </c>
      <c r="F209" s="12" t="s">
        <v>235</v>
      </c>
      <c r="T209" s="1" t="str">
        <f t="shared" si="24"/>
        <v>MY LITTLE PONY</v>
      </c>
      <c r="U209" s="1" t="str">
        <f t="shared" si="25"/>
        <v>X:\@APPAREL FOR ALL\MY LITTLE PONY</v>
      </c>
      <c r="V209" s="12" t="s">
        <v>667</v>
      </c>
    </row>
    <row r="210" spans="2:22" x14ac:dyDescent="0.25">
      <c r="B210" s="1" t="str">
        <f>A9</f>
        <v>X:</v>
      </c>
      <c r="D210" s="1" t="str">
        <f t="shared" si="23"/>
        <v>ROCKPORT</v>
      </c>
      <c r="E210" s="1" t="str">
        <f t="shared" si="22"/>
        <v>X:\RUM's\ROCKPORT</v>
      </c>
      <c r="F210" s="12" t="s">
        <v>236</v>
      </c>
      <c r="T210" s="1" t="str">
        <f t="shared" si="24"/>
        <v>NATHAN</v>
      </c>
      <c r="U210" s="1" t="str">
        <f t="shared" si="25"/>
        <v>X:\@APPAREL FOR ALL\NATHAN</v>
      </c>
      <c r="V210" s="12" t="s">
        <v>668</v>
      </c>
    </row>
    <row r="211" spans="2:22" x14ac:dyDescent="0.25">
      <c r="B211" s="1" t="str">
        <f>A9</f>
        <v>X:</v>
      </c>
      <c r="D211" s="1" t="str">
        <f t="shared" si="23"/>
        <v>RUBY</v>
      </c>
      <c r="E211" s="1" t="str">
        <f t="shared" si="22"/>
        <v>X:\RUM's\RUBY</v>
      </c>
      <c r="F211" s="12" t="s">
        <v>237</v>
      </c>
      <c r="T211" s="1" t="str">
        <f t="shared" si="24"/>
        <v>NAUTICA</v>
      </c>
      <c r="U211" s="1" t="str">
        <f t="shared" si="25"/>
        <v>X:\@APPAREL FOR ALL\NAUTICA</v>
      </c>
      <c r="V211" s="12" t="s">
        <v>669</v>
      </c>
    </row>
    <row r="212" spans="2:22" x14ac:dyDescent="0.25">
      <c r="B212" s="1" t="str">
        <f>A9</f>
        <v>X:</v>
      </c>
      <c r="D212" s="1" t="str">
        <f t="shared" si="23"/>
        <v>RYKA</v>
      </c>
      <c r="E212" s="1" t="str">
        <f t="shared" si="22"/>
        <v>X:\RUM's\RYKA</v>
      </c>
      <c r="F212" s="12" t="s">
        <v>238</v>
      </c>
      <c r="T212" s="1" t="str">
        <f t="shared" si="24"/>
        <v>NEFF</v>
      </c>
      <c r="U212" s="1" t="str">
        <f t="shared" si="25"/>
        <v>X:\@APPAREL FOR ALL\NEFF</v>
      </c>
      <c r="V212" s="12" t="s">
        <v>670</v>
      </c>
    </row>
    <row r="213" spans="2:22" x14ac:dyDescent="0.25">
      <c r="B213" s="1" t="str">
        <f>A9</f>
        <v>X:</v>
      </c>
      <c r="D213" s="1" t="str">
        <f t="shared" si="23"/>
        <v>SALEWA</v>
      </c>
      <c r="E213" s="1" t="str">
        <f t="shared" si="22"/>
        <v>X:\RUM's\SALEWA</v>
      </c>
      <c r="F213" s="12" t="s">
        <v>239</v>
      </c>
      <c r="T213" s="1" t="str">
        <f t="shared" si="24"/>
        <v>NEW BALANCE</v>
      </c>
      <c r="U213" s="1" t="str">
        <f t="shared" si="25"/>
        <v>X:\@APPAREL FOR ALL\NEW BALANCE</v>
      </c>
      <c r="V213" s="12" t="s">
        <v>671</v>
      </c>
    </row>
    <row r="214" spans="2:22" x14ac:dyDescent="0.25">
      <c r="B214" s="1" t="str">
        <f>A9</f>
        <v>X:</v>
      </c>
      <c r="D214" s="1" t="str">
        <f t="shared" si="23"/>
        <v>SALMING</v>
      </c>
      <c r="E214" s="1" t="str">
        <f t="shared" si="22"/>
        <v>X:\RUM's\SALMING</v>
      </c>
      <c r="F214" s="12" t="s">
        <v>240</v>
      </c>
      <c r="T214" s="1" t="str">
        <f t="shared" si="24"/>
        <v>NEW ERA CAP</v>
      </c>
      <c r="U214" s="1" t="str">
        <f t="shared" si="25"/>
        <v>X:\@APPAREL FOR ALL\NEW ERA CAP</v>
      </c>
      <c r="V214" s="12" t="s">
        <v>672</v>
      </c>
    </row>
    <row r="215" spans="2:22" x14ac:dyDescent="0.25">
      <c r="B215" s="1" t="str">
        <f>A9</f>
        <v>X:</v>
      </c>
      <c r="D215" s="1" t="str">
        <f t="shared" si="23"/>
        <v>SALOMON</v>
      </c>
      <c r="E215" s="1" t="str">
        <f t="shared" si="22"/>
        <v>X:\RUM's\SALOMON</v>
      </c>
      <c r="F215" s="12" t="s">
        <v>241</v>
      </c>
      <c r="T215" s="1" t="str">
        <f t="shared" si="24"/>
        <v>NFL</v>
      </c>
      <c r="U215" s="1" t="str">
        <f t="shared" si="25"/>
        <v>X:\@APPAREL FOR ALL\NFL</v>
      </c>
      <c r="V215" s="12" t="s">
        <v>673</v>
      </c>
    </row>
    <row r="216" spans="2:22" x14ac:dyDescent="0.25">
      <c r="B216" s="1" t="str">
        <f>A9</f>
        <v>X:</v>
      </c>
      <c r="D216" s="1" t="str">
        <f t="shared" si="23"/>
        <v>SALT WATER</v>
      </c>
      <c r="E216" s="1" t="str">
        <f t="shared" si="22"/>
        <v>X:\RUM's\SALT WATER</v>
      </c>
      <c r="F216" s="12" t="s">
        <v>242</v>
      </c>
      <c r="T216" s="1" t="str">
        <f t="shared" si="24"/>
        <v>NICCE</v>
      </c>
      <c r="U216" s="1" t="str">
        <f t="shared" si="25"/>
        <v>X:\@APPAREL FOR ALL\NICCE</v>
      </c>
      <c r="V216" s="12" t="s">
        <v>674</v>
      </c>
    </row>
    <row r="217" spans="2:22" x14ac:dyDescent="0.25">
      <c r="B217" s="1" t="str">
        <f>A9</f>
        <v>X:</v>
      </c>
      <c r="D217" s="1" t="str">
        <f t="shared" si="23"/>
        <v>SALVATORE FERRAGAMO</v>
      </c>
      <c r="E217" s="1" t="str">
        <f t="shared" si="22"/>
        <v>X:\RUM's\SALVATORE FERRAGAMO</v>
      </c>
      <c r="F217" s="12" t="s">
        <v>243</v>
      </c>
      <c r="T217" s="1" t="str">
        <f t="shared" si="24"/>
        <v>NICKELODEON</v>
      </c>
      <c r="U217" s="1" t="str">
        <f t="shared" si="25"/>
        <v>X:\@APPAREL FOR ALL\NICKELODEON</v>
      </c>
      <c r="V217" s="12" t="s">
        <v>675</v>
      </c>
    </row>
    <row r="218" spans="2:22" x14ac:dyDescent="0.25">
      <c r="B218" s="1" t="str">
        <f>A9</f>
        <v>X:</v>
      </c>
      <c r="D218" s="1" t="str">
        <f t="shared" si="23"/>
        <v>SANITA</v>
      </c>
      <c r="E218" s="1" t="str">
        <f t="shared" si="22"/>
        <v>X:\RUM's\SANITA</v>
      </c>
      <c r="F218" s="12" t="s">
        <v>244</v>
      </c>
      <c r="T218" s="1" t="str">
        <f t="shared" si="24"/>
        <v>NIKE</v>
      </c>
      <c r="U218" s="1" t="str">
        <f t="shared" si="25"/>
        <v>X:\@APPAREL FOR ALL\NIKE</v>
      </c>
      <c r="V218" s="12" t="s">
        <v>676</v>
      </c>
    </row>
    <row r="219" spans="2:22" x14ac:dyDescent="0.25">
      <c r="B219" s="1" t="str">
        <f>A9</f>
        <v>X:</v>
      </c>
      <c r="D219" s="1" t="str">
        <f t="shared" si="23"/>
        <v>SANUK</v>
      </c>
      <c r="E219" s="1" t="str">
        <f t="shared" si="22"/>
        <v>X:\RUM's\SANUK</v>
      </c>
      <c r="F219" s="12" t="s">
        <v>245</v>
      </c>
      <c r="T219" s="1" t="str">
        <f t="shared" si="24"/>
        <v>NIXON</v>
      </c>
      <c r="U219" s="1" t="str">
        <f t="shared" si="25"/>
        <v>X:\@APPAREL FOR ALL\NIXON</v>
      </c>
      <c r="V219" s="12" t="s">
        <v>677</v>
      </c>
    </row>
    <row r="220" spans="2:22" x14ac:dyDescent="0.25">
      <c r="B220" s="1" t="str">
        <f>A9</f>
        <v>X:</v>
      </c>
      <c r="D220" s="1" t="str">
        <f t="shared" si="23"/>
        <v>SAS</v>
      </c>
      <c r="E220" s="1" t="str">
        <f t="shared" si="22"/>
        <v>X:\RUM's\SAS</v>
      </c>
      <c r="F220" s="12" t="s">
        <v>246</v>
      </c>
      <c r="T220" s="1" t="str">
        <f t="shared" si="24"/>
        <v>NONE</v>
      </c>
      <c r="U220" s="1" t="str">
        <f t="shared" si="25"/>
        <v>X:\@APPAREL FOR ALL\NONE</v>
      </c>
      <c r="V220" s="12" t="s">
        <v>678</v>
      </c>
    </row>
    <row r="221" spans="2:22" x14ac:dyDescent="0.25">
      <c r="B221" s="1" t="str">
        <f>A9</f>
        <v>X:</v>
      </c>
      <c r="D221" s="1" t="str">
        <f t="shared" si="23"/>
        <v>SAUCONY</v>
      </c>
      <c r="E221" s="1" t="str">
        <f t="shared" si="22"/>
        <v>X:\RUM's\SAUCONY</v>
      </c>
      <c r="F221" s="12" t="s">
        <v>247</v>
      </c>
      <c r="T221" s="1" t="str">
        <f t="shared" si="24"/>
        <v>NORMA JEANE</v>
      </c>
      <c r="U221" s="1" t="str">
        <f t="shared" si="25"/>
        <v>X:\@APPAREL FOR ALL\NORMA JEANE</v>
      </c>
      <c r="V221" s="12" t="s">
        <v>679</v>
      </c>
    </row>
    <row r="222" spans="2:22" x14ac:dyDescent="0.25">
      <c r="B222" s="1" t="str">
        <f>A9</f>
        <v>X:</v>
      </c>
      <c r="D222" s="1" t="str">
        <f t="shared" si="23"/>
        <v>SCARPA</v>
      </c>
      <c r="E222" s="1" t="str">
        <f t="shared" si="22"/>
        <v>X:\RUM's\SCARPA</v>
      </c>
      <c r="F222" s="12" t="s">
        <v>248</v>
      </c>
      <c r="T222" s="1" t="str">
        <f t="shared" si="24"/>
        <v>NORTH FACE</v>
      </c>
      <c r="U222" s="1" t="str">
        <f t="shared" si="25"/>
        <v>X:\@APPAREL FOR ALL\NORTH FACE</v>
      </c>
      <c r="V222" s="12" t="s">
        <v>680</v>
      </c>
    </row>
    <row r="223" spans="2:22" x14ac:dyDescent="0.25">
      <c r="B223" s="1" t="str">
        <f>A9</f>
        <v>X:</v>
      </c>
      <c r="D223" s="1" t="str">
        <f t="shared" si="23"/>
        <v>SEAN JOHN</v>
      </c>
      <c r="E223" s="1" t="str">
        <f t="shared" si="22"/>
        <v>X:\RUM's\SEAN JOHN</v>
      </c>
      <c r="F223" s="12" t="s">
        <v>249</v>
      </c>
      <c r="T223" s="1" t="str">
        <f t="shared" si="24"/>
        <v>OAK</v>
      </c>
      <c r="U223" s="1" t="str">
        <f t="shared" si="25"/>
        <v>X:\@APPAREL FOR ALL\OAK</v>
      </c>
      <c r="V223" s="12" t="s">
        <v>681</v>
      </c>
    </row>
    <row r="224" spans="2:22" x14ac:dyDescent="0.25">
      <c r="B224" s="1" t="str">
        <f>A9</f>
        <v>X:</v>
      </c>
      <c r="D224" s="1" t="str">
        <f t="shared" si="23"/>
        <v>SEAVEES</v>
      </c>
      <c r="E224" s="1" t="str">
        <f t="shared" si="22"/>
        <v>X:\RUM's\SEAVEES</v>
      </c>
      <c r="F224" s="12" t="s">
        <v>250</v>
      </c>
      <c r="T224" s="1" t="str">
        <f t="shared" si="24"/>
        <v>OAKLEY</v>
      </c>
      <c r="U224" s="1" t="str">
        <f t="shared" si="25"/>
        <v>X:\@APPAREL FOR ALL\OAKLEY</v>
      </c>
      <c r="V224" s="12" t="s">
        <v>682</v>
      </c>
    </row>
    <row r="225" spans="2:22" x14ac:dyDescent="0.25">
      <c r="B225" s="1" t="str">
        <f>A9</f>
        <v>X:</v>
      </c>
      <c r="D225" s="1" t="str">
        <f t="shared" si="23"/>
        <v>SEE KAI RUN</v>
      </c>
      <c r="E225" s="1" t="str">
        <f t="shared" si="22"/>
        <v>X:\RUM's\SEE KAI RUN</v>
      </c>
      <c r="F225" s="12" t="s">
        <v>251</v>
      </c>
      <c r="T225" s="1" t="str">
        <f t="shared" si="24"/>
        <v>OBEY</v>
      </c>
      <c r="U225" s="1" t="str">
        <f t="shared" si="25"/>
        <v>X:\@APPAREL FOR ALL\OBEY</v>
      </c>
      <c r="V225" s="12" t="s">
        <v>683</v>
      </c>
    </row>
    <row r="226" spans="2:22" x14ac:dyDescent="0.25">
      <c r="B226" s="1" t="str">
        <f>A9</f>
        <v>X:</v>
      </c>
      <c r="D226" s="1" t="str">
        <f t="shared" si="23"/>
        <v>SELENA GOMEZ</v>
      </c>
      <c r="E226" s="1" t="str">
        <f t="shared" si="22"/>
        <v>X:\RUM's\SELENA GOMEZ</v>
      </c>
      <c r="F226" s="12" t="s">
        <v>252</v>
      </c>
      <c r="T226" s="1" t="str">
        <f t="shared" si="24"/>
        <v>OCEANLIN</v>
      </c>
      <c r="U226" s="1" t="str">
        <f t="shared" si="25"/>
        <v>X:\@APPAREL FOR ALL\OCEANLIN</v>
      </c>
      <c r="V226" s="12" t="s">
        <v>684</v>
      </c>
    </row>
    <row r="227" spans="2:22" x14ac:dyDescent="0.25">
      <c r="B227" s="1" t="str">
        <f>A9</f>
        <v>X:</v>
      </c>
      <c r="D227" s="1" t="str">
        <f t="shared" si="23"/>
        <v>SEYCHELLES</v>
      </c>
      <c r="E227" s="1" t="str">
        <f t="shared" si="22"/>
        <v>X:\RUM's\SEYCHELLES</v>
      </c>
      <c r="F227" s="12" t="s">
        <v>253</v>
      </c>
      <c r="T227" s="1" t="str">
        <f t="shared" si="24"/>
        <v>OHIO STATE VARSITY AUTHENTIC APPAREL</v>
      </c>
      <c r="U227" s="1" t="str">
        <f t="shared" si="25"/>
        <v>X:\@APPAREL FOR ALL\OHIO STATE VARSITY AUTHENTIC APPAREL</v>
      </c>
      <c r="V227" s="12" t="s">
        <v>685</v>
      </c>
    </row>
    <row r="228" spans="2:22" x14ac:dyDescent="0.25">
      <c r="B228" s="1" t="str">
        <f>A9</f>
        <v>X:</v>
      </c>
      <c r="D228" s="1" t="str">
        <f t="shared" si="23"/>
        <v>SKADOO</v>
      </c>
      <c r="E228" s="1" t="str">
        <f t="shared" si="22"/>
        <v>X:\RUM's\SKADOO</v>
      </c>
      <c r="F228" s="12" t="s">
        <v>254</v>
      </c>
      <c r="T228" s="1" t="str">
        <f t="shared" si="24"/>
        <v>OISELLE</v>
      </c>
      <c r="U228" s="1" t="str">
        <f t="shared" si="25"/>
        <v>X:\@APPAREL FOR ALL\OISELLE</v>
      </c>
      <c r="V228" s="12" t="s">
        <v>686</v>
      </c>
    </row>
    <row r="229" spans="2:22" x14ac:dyDescent="0.25">
      <c r="B229" s="1" t="str">
        <f>A9</f>
        <v>X:</v>
      </c>
      <c r="D229" s="1" t="str">
        <f t="shared" si="23"/>
        <v>SKECHERS</v>
      </c>
      <c r="E229" s="1" t="str">
        <f t="shared" si="22"/>
        <v>X:\RUM's\SKECHERS</v>
      </c>
      <c r="F229" s="12" t="s">
        <v>255</v>
      </c>
      <c r="T229" s="1" t="str">
        <f t="shared" si="24"/>
        <v>OLD TIME SPORTS</v>
      </c>
      <c r="U229" s="1" t="str">
        <f t="shared" si="25"/>
        <v>X:\@APPAREL FOR ALL\OLD TIME SPORTS</v>
      </c>
      <c r="V229" s="12" t="s">
        <v>687</v>
      </c>
    </row>
    <row r="230" spans="2:22" x14ac:dyDescent="0.25">
      <c r="B230" s="1" t="str">
        <f>A9</f>
        <v>X:</v>
      </c>
      <c r="D230" s="1" t="str">
        <f t="shared" si="23"/>
        <v>SNKR PROJECT</v>
      </c>
      <c r="E230" s="1" t="str">
        <f t="shared" si="22"/>
        <v>X:\RUM's\SNKR PROJECT</v>
      </c>
      <c r="F230" s="12" t="s">
        <v>256</v>
      </c>
      <c r="T230" s="1" t="str">
        <f t="shared" si="24"/>
        <v>OLD VARSITY</v>
      </c>
      <c r="U230" s="1" t="str">
        <f t="shared" si="25"/>
        <v>X:\@APPAREL FOR ALL\OLD VARSITY</v>
      </c>
      <c r="V230" s="12" t="s">
        <v>688</v>
      </c>
    </row>
    <row r="231" spans="2:22" x14ac:dyDescent="0.25">
      <c r="B231" s="1" t="str">
        <f>A9</f>
        <v>X:</v>
      </c>
      <c r="D231" s="1" t="str">
        <f t="shared" si="23"/>
        <v>SOLE</v>
      </c>
      <c r="E231" s="1" t="str">
        <f t="shared" si="22"/>
        <v>X:\RUM's\SOLE</v>
      </c>
      <c r="F231" s="12" t="s">
        <v>257</v>
      </c>
      <c r="T231" s="1" t="str">
        <f t="shared" si="24"/>
        <v>OLIVER PEOPLE</v>
      </c>
      <c r="U231" s="1" t="str">
        <f t="shared" si="25"/>
        <v>X:\@APPAREL FOR ALL\OLIVER PEOPLE</v>
      </c>
      <c r="V231" s="12" t="s">
        <v>689</v>
      </c>
    </row>
    <row r="232" spans="2:22" x14ac:dyDescent="0.25">
      <c r="B232" s="1" t="str">
        <f>A9</f>
        <v>X:</v>
      </c>
      <c r="D232" s="1" t="str">
        <f t="shared" si="23"/>
        <v>SOREL</v>
      </c>
      <c r="E232" s="1" t="str">
        <f t="shared" si="22"/>
        <v>X:\RUM's\SOREL</v>
      </c>
      <c r="F232" s="12" t="s">
        <v>258</v>
      </c>
      <c r="T232" s="1" t="str">
        <f t="shared" si="24"/>
        <v>ON RUNNING</v>
      </c>
      <c r="U232" s="1" t="str">
        <f t="shared" si="25"/>
        <v>X:\@APPAREL FOR ALL\ON RUNNING</v>
      </c>
      <c r="V232" s="12" t="s">
        <v>690</v>
      </c>
    </row>
    <row r="233" spans="2:22" x14ac:dyDescent="0.25">
      <c r="B233" s="1" t="str">
        <f>A9</f>
        <v>X:</v>
      </c>
      <c r="D233" s="1" t="str">
        <f t="shared" si="23"/>
        <v>SOUTH POLE</v>
      </c>
      <c r="E233" s="1" t="str">
        <f t="shared" si="22"/>
        <v>X:\RUM's\SOUTH POLE</v>
      </c>
      <c r="F233" s="12" t="s">
        <v>259</v>
      </c>
      <c r="T233" s="1" t="str">
        <f t="shared" si="24"/>
        <v>ORANGE MUD</v>
      </c>
      <c r="U233" s="1" t="str">
        <f t="shared" si="25"/>
        <v>X:\@APPAREL FOR ALL\ORANGE MUD</v>
      </c>
      <c r="V233" s="12" t="s">
        <v>691</v>
      </c>
    </row>
    <row r="234" spans="2:22" x14ac:dyDescent="0.25">
      <c r="B234" s="1" t="str">
        <f>A9</f>
        <v>X:</v>
      </c>
      <c r="D234" s="1" t="str">
        <f t="shared" si="23"/>
        <v>SPERRY</v>
      </c>
      <c r="E234" s="1" t="str">
        <f t="shared" si="22"/>
        <v>X:\RUM's\SPERRY</v>
      </c>
      <c r="F234" s="12" t="s">
        <v>260</v>
      </c>
      <c r="T234" s="1" t="str">
        <f t="shared" si="24"/>
        <v>ORORO</v>
      </c>
      <c r="U234" s="1" t="str">
        <f t="shared" si="25"/>
        <v>X:\@APPAREL FOR ALL\ORORO</v>
      </c>
      <c r="V234" s="12" t="s">
        <v>692</v>
      </c>
    </row>
    <row r="235" spans="2:22" x14ac:dyDescent="0.25">
      <c r="B235" s="1" t="str">
        <f>A9</f>
        <v>X:</v>
      </c>
      <c r="D235" s="1" t="str">
        <f t="shared" si="23"/>
        <v>SPIRA</v>
      </c>
      <c r="E235" s="1" t="str">
        <f t="shared" si="22"/>
        <v>X:\RUM's\SPIRA</v>
      </c>
      <c r="F235" s="12" t="s">
        <v>261</v>
      </c>
      <c r="T235" s="1" t="str">
        <f t="shared" si="24"/>
        <v>OSHKOSH BGOSH</v>
      </c>
      <c r="U235" s="1" t="str">
        <f t="shared" si="25"/>
        <v>X:\@APPAREL FOR ALL\OSHKOSH BGOSH</v>
      </c>
      <c r="V235" s="12" t="s">
        <v>693</v>
      </c>
    </row>
    <row r="236" spans="2:22" x14ac:dyDescent="0.25">
      <c r="B236" s="1" t="str">
        <f>A9</f>
        <v>X:</v>
      </c>
      <c r="D236" s="1" t="str">
        <f t="shared" si="23"/>
        <v>SPRING STEP</v>
      </c>
      <c r="E236" s="1" t="str">
        <f t="shared" si="22"/>
        <v>X:\RUM's\SPRING STEP</v>
      </c>
      <c r="F236" s="12" t="s">
        <v>262</v>
      </c>
      <c r="T236" s="1" t="str">
        <f t="shared" si="24"/>
        <v>OSPRAY</v>
      </c>
      <c r="U236" s="1" t="str">
        <f t="shared" si="25"/>
        <v>X:\@APPAREL FOR ALL\OSPRAY</v>
      </c>
      <c r="V236" s="12" t="s">
        <v>694</v>
      </c>
    </row>
    <row r="237" spans="2:22" x14ac:dyDescent="0.25">
      <c r="B237" s="1" t="str">
        <f>A9</f>
        <v>X:</v>
      </c>
      <c r="D237" s="1" t="str">
        <f t="shared" si="23"/>
        <v>STACY ADAMS</v>
      </c>
      <c r="E237" s="1" t="str">
        <f t="shared" si="22"/>
        <v>X:\RUM's\STACY ADAMS</v>
      </c>
      <c r="F237" s="12" t="s">
        <v>263</v>
      </c>
      <c r="T237" s="1" t="str">
        <f t="shared" si="24"/>
        <v>OSU OFFICIAL</v>
      </c>
      <c r="U237" s="1" t="str">
        <f t="shared" si="25"/>
        <v>X:\@APPAREL FOR ALL\OSU OFFICIAL</v>
      </c>
      <c r="V237" s="12" t="s">
        <v>695</v>
      </c>
    </row>
    <row r="238" spans="2:22" x14ac:dyDescent="0.25">
      <c r="B238" s="1" t="str">
        <f>A9</f>
        <v>X:</v>
      </c>
      <c r="D238" s="1" t="str">
        <f t="shared" si="23"/>
        <v>STEVE MADDEN</v>
      </c>
      <c r="E238" s="1" t="str">
        <f t="shared" si="22"/>
        <v>X:\RUM's\STEVE MADDEN</v>
      </c>
      <c r="F238" s="12" t="s">
        <v>264</v>
      </c>
      <c r="T238" s="1" t="str">
        <f t="shared" si="24"/>
        <v>OTAH</v>
      </c>
      <c r="U238" s="1" t="str">
        <f t="shared" si="25"/>
        <v>X:\@APPAREL FOR ALL\OTAH</v>
      </c>
      <c r="V238" s="12" t="s">
        <v>696</v>
      </c>
    </row>
    <row r="239" spans="2:22" x14ac:dyDescent="0.25">
      <c r="B239" s="1" t="str">
        <f>A9</f>
        <v>X:</v>
      </c>
      <c r="D239" s="1" t="str">
        <f t="shared" si="23"/>
        <v>STRIDE RITE</v>
      </c>
      <c r="E239" s="1" t="str">
        <f t="shared" si="22"/>
        <v>X:\RUM's\STRIDE RITE</v>
      </c>
      <c r="F239" s="12" t="s">
        <v>265</v>
      </c>
      <c r="T239" s="1" t="str">
        <f t="shared" si="24"/>
        <v>OURAY</v>
      </c>
      <c r="U239" s="1" t="str">
        <f t="shared" si="25"/>
        <v>X:\@APPAREL FOR ALL\OURAY</v>
      </c>
      <c r="V239" s="12" t="s">
        <v>697</v>
      </c>
    </row>
    <row r="240" spans="2:22" x14ac:dyDescent="0.25">
      <c r="B240" s="1" t="str">
        <f>A9</f>
        <v>X:</v>
      </c>
      <c r="D240" s="1" t="str">
        <f t="shared" si="23"/>
        <v>SUMIKKO</v>
      </c>
      <c r="E240" s="1" t="str">
        <f t="shared" si="22"/>
        <v>X:\RUM's\SUMIKKO</v>
      </c>
      <c r="F240" s="12" t="s">
        <v>266</v>
      </c>
      <c r="T240" s="1" t="str">
        <f t="shared" si="24"/>
        <v>OVB</v>
      </c>
      <c r="U240" s="1" t="str">
        <f t="shared" si="25"/>
        <v>X:\@APPAREL FOR ALL\OVB</v>
      </c>
      <c r="V240" s="12" t="s">
        <v>698</v>
      </c>
    </row>
    <row r="241" spans="2:22" x14ac:dyDescent="0.25">
      <c r="B241" s="1" t="str">
        <f>A9</f>
        <v>X:</v>
      </c>
      <c r="D241" s="1" t="str">
        <f t="shared" si="23"/>
        <v>SUPERDRY</v>
      </c>
      <c r="E241" s="1" t="str">
        <f t="shared" si="22"/>
        <v>X:\RUM's\SUPERDRY</v>
      </c>
      <c r="F241" s="12" t="s">
        <v>267</v>
      </c>
      <c r="T241" s="1" t="str">
        <f t="shared" si="24"/>
        <v>PANACHE</v>
      </c>
      <c r="U241" s="1" t="str">
        <f t="shared" si="25"/>
        <v>X:\@APPAREL FOR ALL\PANACHE</v>
      </c>
      <c r="V241" s="12" t="s">
        <v>699</v>
      </c>
    </row>
    <row r="242" spans="2:22" x14ac:dyDescent="0.25">
      <c r="B242" s="1" t="str">
        <f>A9</f>
        <v>X:</v>
      </c>
      <c r="D242" s="1" t="str">
        <f t="shared" si="23"/>
        <v>SUPRA</v>
      </c>
      <c r="E242" s="1" t="str">
        <f t="shared" si="22"/>
        <v>X:\RUM's\SUPRA</v>
      </c>
      <c r="F242" s="12" t="s">
        <v>268</v>
      </c>
      <c r="T242" s="1" t="str">
        <f t="shared" si="24"/>
        <v>PAPER PLANES</v>
      </c>
      <c r="U242" s="1" t="str">
        <f t="shared" si="25"/>
        <v>X:\@APPAREL FOR ALL\PAPER PLANES</v>
      </c>
      <c r="V242" s="12" t="s">
        <v>700</v>
      </c>
    </row>
    <row r="243" spans="2:22" x14ac:dyDescent="0.25">
      <c r="B243" s="1" t="str">
        <f>A9</f>
        <v>X:</v>
      </c>
      <c r="D243" s="1" t="str">
        <f t="shared" si="23"/>
        <v>TEK GEAR</v>
      </c>
      <c r="E243" s="1" t="str">
        <f t="shared" si="22"/>
        <v>X:\RUM's\TEK GEAR</v>
      </c>
      <c r="F243" s="12" t="s">
        <v>269</v>
      </c>
      <c r="T243" s="1" t="str">
        <f t="shared" si="24"/>
        <v>PARKLAND</v>
      </c>
      <c r="U243" s="1" t="str">
        <f t="shared" si="25"/>
        <v>X:\@APPAREL FOR ALL\PARKLAND</v>
      </c>
      <c r="V243" s="12" t="s">
        <v>701</v>
      </c>
    </row>
    <row r="244" spans="2:22" x14ac:dyDescent="0.25">
      <c r="B244" s="1" t="str">
        <f>A9</f>
        <v>X:</v>
      </c>
      <c r="D244" s="1" t="str">
        <f t="shared" si="23"/>
        <v>testing</v>
      </c>
      <c r="E244" s="1" t="str">
        <f t="shared" si="22"/>
        <v>X:\RUM's\testing</v>
      </c>
      <c r="F244" s="12" t="s">
        <v>270</v>
      </c>
      <c r="T244" s="1" t="str">
        <f t="shared" si="24"/>
        <v>PEARL IZUMI</v>
      </c>
      <c r="U244" s="1" t="str">
        <f t="shared" si="25"/>
        <v>X:\@APPAREL FOR ALL\PEARL IZUMI</v>
      </c>
      <c r="V244" s="12" t="s">
        <v>702</v>
      </c>
    </row>
    <row r="245" spans="2:22" x14ac:dyDescent="0.25">
      <c r="B245" s="1" t="str">
        <f>A9</f>
        <v>X:</v>
      </c>
      <c r="D245" s="1" t="str">
        <f t="shared" si="23"/>
        <v>TEVA</v>
      </c>
      <c r="E245" s="1" t="str">
        <f t="shared" si="22"/>
        <v>X:\RUM's\TEVA</v>
      </c>
      <c r="F245" s="12" t="s">
        <v>271</v>
      </c>
      <c r="T245" s="1" t="str">
        <f t="shared" si="24"/>
        <v>PINGOD</v>
      </c>
      <c r="U245" s="1" t="str">
        <f t="shared" si="25"/>
        <v>X:\@APPAREL FOR ALL\PINGOD</v>
      </c>
      <c r="V245" s="12" t="s">
        <v>703</v>
      </c>
    </row>
    <row r="246" spans="2:22" x14ac:dyDescent="0.25">
      <c r="B246" s="1" t="str">
        <f>A9</f>
        <v>X:</v>
      </c>
      <c r="D246" s="1" t="str">
        <f t="shared" si="23"/>
        <v>THOMAS &amp; FRIENDS</v>
      </c>
      <c r="E246" s="1" t="str">
        <f t="shared" si="22"/>
        <v>X:\RUM's\THOMAS &amp; FRIENDS</v>
      </c>
      <c r="F246" s="12" t="s">
        <v>272</v>
      </c>
      <c r="T246" s="1" t="str">
        <f t="shared" si="24"/>
        <v>PINK SODA</v>
      </c>
      <c r="U246" s="1" t="str">
        <f t="shared" si="25"/>
        <v>X:\@APPAREL FOR ALL\PINK SODA</v>
      </c>
      <c r="V246" s="12" t="s">
        <v>704</v>
      </c>
    </row>
    <row r="247" spans="2:22" x14ac:dyDescent="0.25">
      <c r="B247" s="1" t="str">
        <f>A9</f>
        <v>X:</v>
      </c>
      <c r="D247" s="1" t="str">
        <f t="shared" si="23"/>
        <v>TIDAL</v>
      </c>
      <c r="E247" s="1" t="str">
        <f t="shared" si="22"/>
        <v>X:\RUM's\TIDAL</v>
      </c>
      <c r="F247" s="12" t="s">
        <v>273</v>
      </c>
      <c r="T247" s="1" t="str">
        <f t="shared" si="24"/>
        <v>PJ &amp; ME</v>
      </c>
      <c r="U247" s="1" t="str">
        <f t="shared" si="25"/>
        <v>X:\@APPAREL FOR ALL\PJ &amp; ME</v>
      </c>
      <c r="V247" s="12" t="s">
        <v>705</v>
      </c>
    </row>
    <row r="248" spans="2:22" x14ac:dyDescent="0.25">
      <c r="B248" s="1" t="str">
        <f>A9</f>
        <v>X:</v>
      </c>
      <c r="D248" s="1" t="str">
        <f t="shared" si="23"/>
        <v>TIMBERLAND</v>
      </c>
      <c r="E248" s="1" t="str">
        <f t="shared" si="22"/>
        <v>X:\RUM's\TIMBERLAND</v>
      </c>
      <c r="F248" s="12" t="s">
        <v>274</v>
      </c>
      <c r="T248" s="1" t="str">
        <f t="shared" si="24"/>
        <v>PLAYBOY</v>
      </c>
      <c r="U248" s="1" t="str">
        <f t="shared" si="25"/>
        <v>X:\@APPAREL FOR ALL\PLAYBOY</v>
      </c>
      <c r="V248" s="12" t="s">
        <v>706</v>
      </c>
    </row>
    <row r="249" spans="2:22" x14ac:dyDescent="0.25">
      <c r="B249" s="1" t="str">
        <f>A9</f>
        <v>X:</v>
      </c>
      <c r="D249" s="1" t="str">
        <f t="shared" si="23"/>
        <v>TODD</v>
      </c>
      <c r="E249" s="1" t="str">
        <f t="shared" si="22"/>
        <v>X:\RUM's\TODD</v>
      </c>
      <c r="F249" s="12" t="s">
        <v>275</v>
      </c>
      <c r="T249" s="1" t="str">
        <f t="shared" si="24"/>
        <v>POLAR</v>
      </c>
      <c r="U249" s="1" t="str">
        <f t="shared" si="25"/>
        <v>X:\@APPAREL FOR ALL\POLAR</v>
      </c>
      <c r="V249" s="12" t="s">
        <v>707</v>
      </c>
    </row>
    <row r="250" spans="2:22" x14ac:dyDescent="0.25">
      <c r="B250" s="1" t="str">
        <f>A9</f>
        <v>X:</v>
      </c>
      <c r="D250" s="1" t="str">
        <f t="shared" si="23"/>
        <v>TOMMY HILFIGER</v>
      </c>
      <c r="E250" s="1" t="str">
        <f t="shared" si="22"/>
        <v>X:\RUM's\TOMMY HILFIGER</v>
      </c>
      <c r="F250" s="12" t="s">
        <v>276</v>
      </c>
      <c r="T250" s="1" t="str">
        <f t="shared" si="24"/>
        <v>POLER</v>
      </c>
      <c r="U250" s="1" t="str">
        <f t="shared" si="25"/>
        <v>X:\@APPAREL FOR ALL\POLER</v>
      </c>
      <c r="V250" s="12" t="s">
        <v>708</v>
      </c>
    </row>
    <row r="251" spans="2:22" x14ac:dyDescent="0.25">
      <c r="B251" s="1" t="str">
        <f>A9</f>
        <v>X:</v>
      </c>
      <c r="D251" s="1" t="str">
        <f t="shared" si="23"/>
        <v>TOMS</v>
      </c>
      <c r="E251" s="1" t="str">
        <f t="shared" si="22"/>
        <v>X:\RUM's\TOMS</v>
      </c>
      <c r="F251" s="12" t="s">
        <v>277</v>
      </c>
      <c r="T251" s="1" t="str">
        <f t="shared" si="24"/>
        <v>POLO</v>
      </c>
      <c r="U251" s="1" t="str">
        <f t="shared" si="25"/>
        <v>X:\@APPAREL FOR ALL\POLO</v>
      </c>
      <c r="V251" s="12" t="s">
        <v>709</v>
      </c>
    </row>
    <row r="252" spans="2:22" x14ac:dyDescent="0.25">
      <c r="B252" s="1" t="str">
        <f>A9</f>
        <v>X:</v>
      </c>
      <c r="D252" s="1" t="str">
        <f t="shared" si="23"/>
        <v>TOPO</v>
      </c>
      <c r="E252" s="1" t="str">
        <f t="shared" si="22"/>
        <v>X:\RUM's\TOPO</v>
      </c>
      <c r="F252" s="12" t="s">
        <v>278</v>
      </c>
      <c r="T252" s="1" t="str">
        <f t="shared" si="24"/>
        <v>POWER BALANCE</v>
      </c>
      <c r="U252" s="1" t="str">
        <f t="shared" si="25"/>
        <v>X:\@APPAREL FOR ALL\POWER BALANCE</v>
      </c>
      <c r="V252" s="12" t="s">
        <v>710</v>
      </c>
    </row>
    <row r="253" spans="2:22" x14ac:dyDescent="0.25">
      <c r="B253" s="1" t="str">
        <f>A9</f>
        <v>X:</v>
      </c>
      <c r="D253" s="1" t="str">
        <f t="shared" si="23"/>
        <v>TOTES</v>
      </c>
      <c r="E253" s="1" t="str">
        <f t="shared" si="22"/>
        <v>X:\RUM's\TOTES</v>
      </c>
      <c r="F253" s="12" t="s">
        <v>279</v>
      </c>
      <c r="T253" s="1" t="str">
        <f t="shared" si="24"/>
        <v>POWER CLUB</v>
      </c>
      <c r="U253" s="1" t="str">
        <f t="shared" si="25"/>
        <v>X:\@APPAREL FOR ALL\POWER CLUB</v>
      </c>
      <c r="V253" s="12" t="s">
        <v>711</v>
      </c>
    </row>
    <row r="254" spans="2:22" x14ac:dyDescent="0.25">
      <c r="B254" s="1" t="str">
        <f>A9</f>
        <v>X:</v>
      </c>
      <c r="D254" s="1" t="str">
        <f t="shared" si="23"/>
        <v>TREDSAFE</v>
      </c>
      <c r="E254" s="1" t="str">
        <f t="shared" si="22"/>
        <v>X:\RUM's\TREDSAFE</v>
      </c>
      <c r="F254" s="12" t="s">
        <v>280</v>
      </c>
      <c r="T254" s="1" t="str">
        <f t="shared" si="24"/>
        <v>POWERSTEP</v>
      </c>
      <c r="U254" s="1" t="str">
        <f t="shared" si="25"/>
        <v>X:\@APPAREL FOR ALL\POWERSTEP</v>
      </c>
      <c r="V254" s="12" t="s">
        <v>712</v>
      </c>
    </row>
    <row r="255" spans="2:22" x14ac:dyDescent="0.25">
      <c r="B255" s="1" t="str">
        <f>A9</f>
        <v>X:</v>
      </c>
      <c r="D255" s="1" t="str">
        <f t="shared" si="23"/>
        <v>TRETORN</v>
      </c>
      <c r="E255" s="1" t="str">
        <f t="shared" si="22"/>
        <v>X:\RUM's\TRETORN</v>
      </c>
      <c r="F255" s="12" t="s">
        <v>281</v>
      </c>
      <c r="T255" s="1" t="str">
        <f t="shared" si="24"/>
        <v>PRANA</v>
      </c>
      <c r="U255" s="1" t="str">
        <f t="shared" si="25"/>
        <v>X:\@APPAREL FOR ALL\PRANA</v>
      </c>
      <c r="V255" s="12" t="s">
        <v>713</v>
      </c>
    </row>
    <row r="256" spans="2:22" x14ac:dyDescent="0.25">
      <c r="B256" s="1" t="str">
        <f>A9</f>
        <v>X:</v>
      </c>
      <c r="D256" s="1" t="str">
        <f t="shared" si="23"/>
        <v>TROOPERS</v>
      </c>
      <c r="E256" s="1" t="str">
        <f t="shared" si="22"/>
        <v>X:\RUM's\TROOPERS</v>
      </c>
      <c r="F256" s="12" t="s">
        <v>282</v>
      </c>
      <c r="T256" s="1" t="str">
        <f t="shared" si="24"/>
        <v>PRESS BOX</v>
      </c>
      <c r="U256" s="1" t="str">
        <f t="shared" si="25"/>
        <v>X:\@APPAREL FOR ALL\PRESS BOX</v>
      </c>
      <c r="V256" s="12" t="s">
        <v>714</v>
      </c>
    </row>
    <row r="257" spans="2:22" x14ac:dyDescent="0.25">
      <c r="B257" s="1" t="str">
        <f>A9</f>
        <v>X:</v>
      </c>
      <c r="D257" s="1" t="str">
        <f t="shared" si="23"/>
        <v>TROTTERS</v>
      </c>
      <c r="E257" s="1" t="str">
        <f t="shared" si="22"/>
        <v>X:\RUM's\TROTTERS</v>
      </c>
      <c r="F257" s="12" t="s">
        <v>283</v>
      </c>
      <c r="T257" s="1" t="str">
        <f t="shared" si="24"/>
        <v>PRESTIGE</v>
      </c>
      <c r="U257" s="1" t="str">
        <f t="shared" si="25"/>
        <v>X:\@APPAREL FOR ALL\PRESTIGE</v>
      </c>
      <c r="V257" s="12" t="s">
        <v>715</v>
      </c>
    </row>
    <row r="258" spans="2:22" x14ac:dyDescent="0.25">
      <c r="B258" s="1" t="str">
        <f>A9</f>
        <v>X:</v>
      </c>
      <c r="D258" s="1" t="str">
        <f t="shared" si="23"/>
        <v>TRUSOL</v>
      </c>
      <c r="E258" s="1" t="str">
        <f t="shared" ref="E258:E281" si="26">CONCATENATE(B258,F258)</f>
        <v>X:\RUM's\TRUSOL</v>
      </c>
      <c r="F258" s="12" t="s">
        <v>284</v>
      </c>
      <c r="T258" s="1" t="str">
        <f t="shared" si="24"/>
        <v>PRIMITIVE</v>
      </c>
      <c r="U258" s="1" t="str">
        <f t="shared" si="25"/>
        <v>X:\@APPAREL FOR ALL\PRIMITIVE</v>
      </c>
      <c r="V258" s="12" t="s">
        <v>716</v>
      </c>
    </row>
    <row r="259" spans="2:22" x14ac:dyDescent="0.25">
      <c r="B259" s="1" t="str">
        <f>A9</f>
        <v>X:</v>
      </c>
      <c r="D259" s="1" t="str">
        <f t="shared" ref="D259:D281" si="27">SUBSTITUTE(E259,B259 &amp; "\RUM's\","")</f>
        <v>TWISTED</v>
      </c>
      <c r="E259" s="1" t="str">
        <f t="shared" si="26"/>
        <v>X:\RUM's\TWISTED</v>
      </c>
      <c r="F259" s="12" t="s">
        <v>285</v>
      </c>
      <c r="T259" s="1" t="str">
        <f t="shared" ref="T259:T322" si="28">SUBSTITUTE(U259,B259 &amp; "\@APPAREL FOR ALL\","")</f>
        <v>PRO STANDARD</v>
      </c>
      <c r="U259" s="1" t="str">
        <f t="shared" ref="U259:U272" si="29">CONCATENATE(B259,V259)</f>
        <v>X:\@APPAREL FOR ALL\PRO STANDARD</v>
      </c>
      <c r="V259" s="12" t="s">
        <v>717</v>
      </c>
    </row>
    <row r="260" spans="2:22" x14ac:dyDescent="0.25">
      <c r="B260" s="1" t="str">
        <f>A9</f>
        <v>X:</v>
      </c>
      <c r="D260" s="1" t="str">
        <f t="shared" si="27"/>
        <v>UGG</v>
      </c>
      <c r="E260" s="1" t="str">
        <f t="shared" si="26"/>
        <v>X:\RUM's\UGG</v>
      </c>
      <c r="F260" s="12" t="s">
        <v>286</v>
      </c>
      <c r="T260" s="1" t="str">
        <f t="shared" si="28"/>
        <v>PRO TEC</v>
      </c>
      <c r="U260" s="1" t="str">
        <f t="shared" si="29"/>
        <v>X:\@APPAREL FOR ALL\PRO TEC</v>
      </c>
      <c r="V260" s="12" t="s">
        <v>718</v>
      </c>
    </row>
    <row r="261" spans="2:22" x14ac:dyDescent="0.25">
      <c r="B261" s="1" t="str">
        <f>A9</f>
        <v>X:</v>
      </c>
      <c r="D261" s="1" t="str">
        <f t="shared" si="27"/>
        <v>UIN</v>
      </c>
      <c r="E261" s="1" t="str">
        <f t="shared" si="26"/>
        <v>X:\RUM's\UIN</v>
      </c>
      <c r="F261" s="12" t="s">
        <v>287</v>
      </c>
      <c r="T261" s="1" t="str">
        <f t="shared" si="28"/>
        <v>PUBLISH</v>
      </c>
      <c r="U261" s="1" t="str">
        <f t="shared" si="29"/>
        <v>X:\@APPAREL FOR ALL\PUBLISH</v>
      </c>
      <c r="V261" s="12" t="s">
        <v>719</v>
      </c>
    </row>
    <row r="262" spans="2:22" x14ac:dyDescent="0.25">
      <c r="B262" s="1" t="str">
        <f>A9</f>
        <v>X:</v>
      </c>
      <c r="D262" s="1" t="str">
        <f t="shared" si="27"/>
        <v>UNDER ARMOUR</v>
      </c>
      <c r="E262" s="1" t="str">
        <f t="shared" si="26"/>
        <v>X:\RUM's\UNDER ARMOUR</v>
      </c>
      <c r="F262" s="12" t="s">
        <v>288</v>
      </c>
      <c r="T262" s="1" t="str">
        <f t="shared" si="28"/>
        <v>PUMA</v>
      </c>
      <c r="U262" s="1" t="str">
        <f t="shared" si="29"/>
        <v>X:\@APPAREL FOR ALL\PUMA</v>
      </c>
      <c r="V262" s="12" t="s">
        <v>720</v>
      </c>
    </row>
    <row r="263" spans="2:22" x14ac:dyDescent="0.25">
      <c r="B263" s="1" t="str">
        <f>A9</f>
        <v>X:</v>
      </c>
      <c r="D263" s="1" t="str">
        <f t="shared" si="27"/>
        <v>UNITED NUDE</v>
      </c>
      <c r="E263" s="1" t="str">
        <f t="shared" si="26"/>
        <v>X:\RUM's\UNITED NUDE</v>
      </c>
      <c r="F263" s="12" t="s">
        <v>289</v>
      </c>
      <c r="T263" s="1" t="str">
        <f t="shared" si="28"/>
        <v>QIQICHEN</v>
      </c>
      <c r="U263" s="1" t="str">
        <f t="shared" si="29"/>
        <v>X:\@APPAREL FOR ALL\QIQICHEN</v>
      </c>
      <c r="V263" s="12" t="s">
        <v>721</v>
      </c>
    </row>
    <row r="264" spans="2:22" x14ac:dyDescent="0.25">
      <c r="B264" s="1" t="str">
        <f>A9</f>
        <v>X:</v>
      </c>
      <c r="D264" s="1" t="str">
        <f t="shared" si="27"/>
        <v>UNITED SHOES OF AMERICA</v>
      </c>
      <c r="E264" s="1" t="str">
        <f t="shared" si="26"/>
        <v>X:\RUM's\UNITED SHOES OF AMERICA</v>
      </c>
      <c r="F264" s="12" t="s">
        <v>290</v>
      </c>
      <c r="T264" s="1" t="str">
        <f t="shared" si="28"/>
        <v>QUIRKY</v>
      </c>
      <c r="U264" s="1" t="str">
        <f t="shared" si="29"/>
        <v>X:\@APPAREL FOR ALL\QUIRKY</v>
      </c>
      <c r="V264" s="12" t="s">
        <v>722</v>
      </c>
    </row>
    <row r="265" spans="2:22" x14ac:dyDescent="0.25">
      <c r="B265" s="1" t="str">
        <f>A9</f>
        <v>X:</v>
      </c>
      <c r="D265" s="1" t="str">
        <f t="shared" si="27"/>
        <v>URBAN FOX</v>
      </c>
      <c r="E265" s="1" t="str">
        <f t="shared" si="26"/>
        <v>X:\RUM's\URBAN FOX</v>
      </c>
      <c r="F265" s="12" t="s">
        <v>291</v>
      </c>
      <c r="T265" s="1" t="str">
        <f t="shared" si="28"/>
        <v>RANGE ROLLER</v>
      </c>
      <c r="U265" s="1" t="str">
        <f t="shared" si="29"/>
        <v>X:\@APPAREL FOR ALL\RANGE ROLLER</v>
      </c>
      <c r="V265" s="12" t="s">
        <v>723</v>
      </c>
    </row>
    <row r="266" spans="2:22" x14ac:dyDescent="0.25">
      <c r="B266" s="1" t="str">
        <f>A9</f>
        <v>X:</v>
      </c>
      <c r="D266" s="1" t="str">
        <f t="shared" si="27"/>
        <v>US POLO</v>
      </c>
      <c r="E266" s="1" t="str">
        <f t="shared" si="26"/>
        <v>X:\RUM's\US POLO</v>
      </c>
      <c r="F266" s="12" t="s">
        <v>292</v>
      </c>
      <c r="T266" s="1" t="str">
        <f t="shared" si="28"/>
        <v>RASCAL</v>
      </c>
      <c r="U266" s="1" t="str">
        <f t="shared" si="29"/>
        <v>X:\@APPAREL FOR ALL\RASCAL</v>
      </c>
      <c r="V266" s="12" t="s">
        <v>724</v>
      </c>
    </row>
    <row r="267" spans="2:22" x14ac:dyDescent="0.25">
      <c r="B267" s="1" t="str">
        <f>A9</f>
        <v>X:</v>
      </c>
      <c r="D267" s="1" t="str">
        <f t="shared" si="27"/>
        <v>VANS</v>
      </c>
      <c r="E267" s="1" t="str">
        <f t="shared" si="26"/>
        <v>X:\RUM's\VANS</v>
      </c>
      <c r="F267" s="12" t="s">
        <v>293</v>
      </c>
      <c r="T267" s="1" t="str">
        <f t="shared" si="28"/>
        <v>RASTACLAT</v>
      </c>
      <c r="U267" s="1" t="str">
        <f t="shared" si="29"/>
        <v>X:\@APPAREL FOR ALL\RASTACLAT</v>
      </c>
      <c r="V267" s="12" t="s">
        <v>725</v>
      </c>
    </row>
    <row r="268" spans="2:22" x14ac:dyDescent="0.25">
      <c r="B268" s="1" t="str">
        <f>A9</f>
        <v>X:</v>
      </c>
      <c r="D268" s="1" t="str">
        <f t="shared" si="27"/>
        <v>VIBRAM</v>
      </c>
      <c r="E268" s="1" t="str">
        <f t="shared" si="26"/>
        <v>X:\RUM's\VIBRAM</v>
      </c>
      <c r="F268" s="12" t="s">
        <v>294</v>
      </c>
      <c r="T268" s="1" t="str">
        <f t="shared" si="28"/>
        <v>RED WING</v>
      </c>
      <c r="U268" s="1" t="str">
        <f t="shared" si="29"/>
        <v>X:\@APPAREL FOR ALL\RED WING</v>
      </c>
      <c r="V268" s="12" t="s">
        <v>726</v>
      </c>
    </row>
    <row r="269" spans="2:22" x14ac:dyDescent="0.25">
      <c r="B269" s="1" t="str">
        <f>A9</f>
        <v>X:</v>
      </c>
      <c r="D269" s="1" t="str">
        <f t="shared" si="27"/>
        <v>VINCE CAMUTO</v>
      </c>
      <c r="E269" s="1" t="str">
        <f t="shared" si="26"/>
        <v>X:\RUM's\VINCE CAMUTO</v>
      </c>
      <c r="F269" s="12" t="s">
        <v>295</v>
      </c>
      <c r="T269" s="1" t="str">
        <f t="shared" si="28"/>
        <v>REEBOK</v>
      </c>
      <c r="U269" s="1" t="str">
        <f t="shared" si="29"/>
        <v>X:\@APPAREL FOR ALL\REEBOK</v>
      </c>
      <c r="V269" s="12" t="s">
        <v>727</v>
      </c>
    </row>
    <row r="270" spans="2:22" x14ac:dyDescent="0.25">
      <c r="B270" s="1" t="str">
        <f>A9</f>
        <v>X:</v>
      </c>
      <c r="D270" s="1" t="str">
        <f t="shared" si="27"/>
        <v>VIONIC</v>
      </c>
      <c r="E270" s="1" t="str">
        <f t="shared" si="26"/>
        <v>X:\RUM's\VIONIC</v>
      </c>
      <c r="F270" s="12" t="s">
        <v>296</v>
      </c>
      <c r="T270" s="1" t="str">
        <f t="shared" si="28"/>
        <v>REPREVE</v>
      </c>
      <c r="U270" s="1" t="str">
        <f t="shared" si="29"/>
        <v>X:\@APPAREL FOR ALL\REPREVE</v>
      </c>
      <c r="V270" s="12" t="s">
        <v>728</v>
      </c>
    </row>
    <row r="271" spans="2:22" x14ac:dyDescent="0.25">
      <c r="B271" s="1" t="str">
        <f>A9</f>
        <v>X:</v>
      </c>
      <c r="D271" s="1" t="str">
        <f t="shared" si="27"/>
        <v>VIVIANLY</v>
      </c>
      <c r="E271" s="1" t="str">
        <f t="shared" si="26"/>
        <v>X:\RUM's\VIVIANLY</v>
      </c>
      <c r="F271" s="12" t="s">
        <v>297</v>
      </c>
      <c r="T271" s="1" t="str">
        <f t="shared" si="28"/>
        <v>RESE</v>
      </c>
      <c r="U271" s="1" t="str">
        <f t="shared" si="29"/>
        <v>X:\@APPAREL FOR ALL\RESE</v>
      </c>
      <c r="V271" s="12" t="s">
        <v>729</v>
      </c>
    </row>
    <row r="272" spans="2:22" x14ac:dyDescent="0.25">
      <c r="B272" s="1" t="str">
        <f>A9</f>
        <v>X:</v>
      </c>
      <c r="D272" s="1" t="str">
        <f t="shared" si="27"/>
        <v>VLADO</v>
      </c>
      <c r="E272" s="1" t="str">
        <f t="shared" si="26"/>
        <v>X:\RUM's\VLADO</v>
      </c>
      <c r="F272" s="12" t="s">
        <v>298</v>
      </c>
      <c r="T272" s="1" t="str">
        <f t="shared" si="28"/>
        <v>RETRO BRAND</v>
      </c>
      <c r="U272" s="1" t="str">
        <f t="shared" si="29"/>
        <v>X:\@APPAREL FOR ALL\RETRO BRAND</v>
      </c>
      <c r="V272" s="12" t="s">
        <v>730</v>
      </c>
    </row>
    <row r="273" spans="2:22" x14ac:dyDescent="0.25">
      <c r="B273" s="1" t="str">
        <f>A9</f>
        <v>X:</v>
      </c>
      <c r="D273" s="1" t="str">
        <f t="shared" si="27"/>
        <v>WEESTEP</v>
      </c>
      <c r="E273" s="1" t="str">
        <f t="shared" si="26"/>
        <v>X:\RUM's\WEESTEP</v>
      </c>
      <c r="F273" s="12" t="s">
        <v>299</v>
      </c>
      <c r="T273" s="1" t="e">
        <f t="shared" si="28"/>
        <v>#REF!</v>
      </c>
      <c r="U273" s="1" t="e">
        <f>CONCATENATE(#REF!,V273)</f>
        <v>#REF!</v>
      </c>
      <c r="V273" s="12" t="s">
        <v>731</v>
      </c>
    </row>
    <row r="274" spans="2:22" x14ac:dyDescent="0.25">
      <c r="B274" s="1" t="str">
        <f>A9</f>
        <v>X:</v>
      </c>
      <c r="D274" s="1" t="str">
        <f t="shared" si="27"/>
        <v>WHITE MOUNTAIN</v>
      </c>
      <c r="E274" s="1" t="str">
        <f t="shared" si="26"/>
        <v>X:\RUM's\WHITE MOUNTAIN</v>
      </c>
      <c r="F274" s="12" t="s">
        <v>300</v>
      </c>
      <c r="T274" s="1" t="str">
        <f t="shared" si="28"/>
        <v>RICHER POORER</v>
      </c>
      <c r="U274" s="1" t="str">
        <f t="shared" ref="U274:U305" si="30">CONCATENATE(B273,V274)</f>
        <v>X:\@APPAREL FOR ALL\RICHER POORER</v>
      </c>
      <c r="V274" s="12" t="s">
        <v>732</v>
      </c>
    </row>
    <row r="275" spans="2:22" x14ac:dyDescent="0.25">
      <c r="B275" s="1" t="str">
        <f>A9</f>
        <v>X:</v>
      </c>
      <c r="D275" s="1" t="str">
        <f t="shared" si="27"/>
        <v>WORRIOR</v>
      </c>
      <c r="E275" s="1" t="str">
        <f t="shared" si="26"/>
        <v>X:\RUM's\WORRIOR</v>
      </c>
      <c r="F275" s="12" t="s">
        <v>301</v>
      </c>
      <c r="T275" s="1" t="str">
        <f t="shared" si="28"/>
        <v>ROLL RECOVERY</v>
      </c>
      <c r="U275" s="1" t="str">
        <f t="shared" si="30"/>
        <v>X:\@APPAREL FOR ALL\ROLL RECOVERY</v>
      </c>
      <c r="V275" s="12" t="s">
        <v>733</v>
      </c>
    </row>
    <row r="276" spans="2:22" x14ac:dyDescent="0.25">
      <c r="B276" s="1" t="str">
        <f>A9</f>
        <v>X:</v>
      </c>
      <c r="D276" s="1" t="str">
        <f t="shared" si="27"/>
        <v>YO GABBA GABBA</v>
      </c>
      <c r="E276" s="1" t="str">
        <f t="shared" si="26"/>
        <v>X:\RUM's\YO GABBA GABBA</v>
      </c>
      <c r="F276" s="12" t="s">
        <v>302</v>
      </c>
      <c r="T276" s="1" t="str">
        <f t="shared" si="28"/>
        <v>ROTHCO</v>
      </c>
      <c r="U276" s="1" t="str">
        <f t="shared" si="30"/>
        <v>X:\@APPAREL FOR ALL\ROTHCO</v>
      </c>
      <c r="V276" s="12" t="s">
        <v>734</v>
      </c>
    </row>
    <row r="277" spans="2:22" x14ac:dyDescent="0.25">
      <c r="B277" s="1" t="str">
        <f>A9</f>
        <v>X:</v>
      </c>
      <c r="D277" s="1" t="str">
        <f t="shared" si="27"/>
        <v>ZOE + LUCA</v>
      </c>
      <c r="E277" s="1" t="str">
        <f t="shared" si="26"/>
        <v>X:\RUM's\ZOE + LUCA</v>
      </c>
      <c r="F277" s="12" t="s">
        <v>303</v>
      </c>
      <c r="T277" s="1" t="str">
        <f t="shared" si="28"/>
        <v>ROXY</v>
      </c>
      <c r="U277" s="1" t="str">
        <f t="shared" si="30"/>
        <v>X:\@APPAREL FOR ALL\ROXY</v>
      </c>
      <c r="V277" s="12" t="s">
        <v>735</v>
      </c>
    </row>
    <row r="278" spans="2:22" x14ac:dyDescent="0.25">
      <c r="B278" s="1" t="str">
        <f>A9</f>
        <v>X:</v>
      </c>
      <c r="D278" s="1" t="str">
        <f t="shared" si="27"/>
        <v>ZOOLIGAN</v>
      </c>
      <c r="E278" s="1" t="str">
        <f t="shared" si="26"/>
        <v>X:\RUM's\ZOOLIGAN</v>
      </c>
      <c r="F278" s="12" t="s">
        <v>304</v>
      </c>
      <c r="T278" s="1" t="str">
        <f t="shared" si="28"/>
        <v>RUE 21</v>
      </c>
      <c r="U278" s="1" t="str">
        <f t="shared" si="30"/>
        <v>X:\@APPAREL FOR ALL\RUE 21</v>
      </c>
      <c r="V278" s="12" t="s">
        <v>736</v>
      </c>
    </row>
    <row r="279" spans="2:22" x14ac:dyDescent="0.25">
      <c r="B279" s="1" t="str">
        <f>A9</f>
        <v>X:</v>
      </c>
      <c r="D279" s="1" t="str">
        <f t="shared" si="27"/>
        <v>ZOOT</v>
      </c>
      <c r="E279" s="1" t="str">
        <f t="shared" si="26"/>
        <v>X:\RUM's\ZOOT</v>
      </c>
      <c r="F279" s="12" t="s">
        <v>305</v>
      </c>
      <c r="T279" s="1" t="str">
        <f t="shared" si="28"/>
        <v>RUFFWEAR</v>
      </c>
      <c r="U279" s="1" t="str">
        <f t="shared" si="30"/>
        <v>X:\@APPAREL FOR ALL\RUFFWEAR</v>
      </c>
      <c r="V279" s="12" t="s">
        <v>737</v>
      </c>
    </row>
    <row r="280" spans="2:22" x14ac:dyDescent="0.25">
      <c r="B280" s="1" t="str">
        <f>A9</f>
        <v>X:</v>
      </c>
      <c r="D280" s="1" t="str">
        <f t="shared" si="27"/>
        <v>ZUMBA</v>
      </c>
      <c r="E280" s="1" t="str">
        <f t="shared" si="26"/>
        <v>X:\RUM's\ZUMBA</v>
      </c>
      <c r="F280" t="s">
        <v>306</v>
      </c>
      <c r="T280" s="1" t="str">
        <f t="shared" si="28"/>
        <v>RUMBA</v>
      </c>
      <c r="U280" s="1" t="str">
        <f t="shared" si="30"/>
        <v>X:\@APPAREL FOR ALL\RUMBA</v>
      </c>
      <c r="V280" s="12" t="s">
        <v>738</v>
      </c>
    </row>
    <row r="281" spans="2:22" x14ac:dyDescent="0.25">
      <c r="B281" s="1" t="str">
        <f>A9</f>
        <v>X:</v>
      </c>
      <c r="D281" s="1" t="str">
        <f t="shared" si="27"/>
        <v>.BridgeSort</v>
      </c>
      <c r="E281" s="1" t="str">
        <f t="shared" si="26"/>
        <v>X:\RUM's\.BridgeSort</v>
      </c>
      <c r="F281" t="s">
        <v>307</v>
      </c>
      <c r="T281" s="1" t="str">
        <f t="shared" si="28"/>
        <v>RUMPL</v>
      </c>
      <c r="U281" s="1" t="str">
        <f t="shared" si="30"/>
        <v>X:\@APPAREL FOR ALL\RUMPL</v>
      </c>
      <c r="V281" s="12" t="s">
        <v>739</v>
      </c>
    </row>
    <row r="282" spans="2:22" x14ac:dyDescent="0.25">
      <c r="B282" s="1" t="str">
        <f>A9</f>
        <v>X:</v>
      </c>
      <c r="T282" s="1" t="str">
        <f t="shared" si="28"/>
        <v>RUN COLORADO</v>
      </c>
      <c r="U282" s="1" t="str">
        <f t="shared" si="30"/>
        <v>X:\@APPAREL FOR ALL\RUN COLORADO</v>
      </c>
      <c r="V282" s="12" t="s">
        <v>740</v>
      </c>
    </row>
    <row r="283" spans="2:22" x14ac:dyDescent="0.25">
      <c r="B283" s="1" t="str">
        <f>A9</f>
        <v>X:</v>
      </c>
      <c r="T283" s="1" t="str">
        <f t="shared" si="28"/>
        <v>RUN PRETTY FAR</v>
      </c>
      <c r="U283" s="1" t="str">
        <f t="shared" si="30"/>
        <v>X:\@APPAREL FOR ALL\RUN PRETTY FAR</v>
      </c>
      <c r="V283" s="12" t="s">
        <v>741</v>
      </c>
    </row>
    <row r="284" spans="2:22" x14ac:dyDescent="0.25">
      <c r="B284" s="1" t="str">
        <f>A9</f>
        <v>X:</v>
      </c>
      <c r="T284" s="1" t="str">
        <f t="shared" si="28"/>
        <v>RUSTY</v>
      </c>
      <c r="U284" s="1" t="str">
        <f t="shared" si="30"/>
        <v>X:\@APPAREL FOR ALL\RUSTY</v>
      </c>
      <c r="V284" s="12" t="s">
        <v>742</v>
      </c>
    </row>
    <row r="285" spans="2:22" x14ac:dyDescent="0.25">
      <c r="B285" s="1" t="str">
        <f>A9</f>
        <v>X:</v>
      </c>
      <c r="T285" s="1" t="str">
        <f t="shared" si="28"/>
        <v>SALOMON</v>
      </c>
      <c r="U285" s="1" t="str">
        <f t="shared" si="30"/>
        <v>X:\@APPAREL FOR ALL\SALOMON</v>
      </c>
      <c r="V285" s="12" t="s">
        <v>743</v>
      </c>
    </row>
    <row r="286" spans="2:22" x14ac:dyDescent="0.25">
      <c r="B286" s="1" t="str">
        <f>A9</f>
        <v>X:</v>
      </c>
      <c r="T286" s="1" t="str">
        <f t="shared" si="28"/>
        <v>SALUD</v>
      </c>
      <c r="U286" s="1" t="str">
        <f t="shared" si="30"/>
        <v>X:\@APPAREL FOR ALL\SALUD</v>
      </c>
      <c r="V286" s="12" t="s">
        <v>744</v>
      </c>
    </row>
    <row r="287" spans="2:22" x14ac:dyDescent="0.25">
      <c r="B287" s="1" t="str">
        <f>A9</f>
        <v>X:</v>
      </c>
      <c r="T287" s="1" t="str">
        <f t="shared" si="28"/>
        <v>SAUCONY</v>
      </c>
      <c r="U287" s="1" t="str">
        <f t="shared" si="30"/>
        <v>X:\@APPAREL FOR ALL\SAUCONY</v>
      </c>
      <c r="V287" s="12" t="s">
        <v>745</v>
      </c>
    </row>
    <row r="288" spans="2:22" x14ac:dyDescent="0.25">
      <c r="B288" s="1" t="str">
        <f>A9</f>
        <v>X:</v>
      </c>
      <c r="T288" s="1" t="str">
        <f t="shared" si="28"/>
        <v>SCARLET &amp; GREY</v>
      </c>
      <c r="U288" s="1" t="str">
        <f t="shared" si="30"/>
        <v>X:\@APPAREL FOR ALL\SCARLET &amp; GREY</v>
      </c>
      <c r="V288" s="12" t="s">
        <v>746</v>
      </c>
    </row>
    <row r="289" spans="2:22" x14ac:dyDescent="0.25">
      <c r="B289" s="1" t="str">
        <f>A9</f>
        <v>X:</v>
      </c>
      <c r="T289" s="1" t="str">
        <f t="shared" si="28"/>
        <v>SDNY</v>
      </c>
      <c r="U289" s="1" t="str">
        <f t="shared" si="30"/>
        <v>X:\@APPAREL FOR ALL\SDNY</v>
      </c>
      <c r="V289" s="12" t="s">
        <v>747</v>
      </c>
    </row>
    <row r="290" spans="2:22" x14ac:dyDescent="0.25">
      <c r="B290" s="1" t="str">
        <f>A9</f>
        <v>X:</v>
      </c>
      <c r="T290" s="1" t="str">
        <f t="shared" si="28"/>
        <v>SEAN JOHN</v>
      </c>
      <c r="U290" s="1" t="str">
        <f t="shared" si="30"/>
        <v>X:\@APPAREL FOR ALL\SEAN JOHN</v>
      </c>
      <c r="V290" s="12" t="s">
        <v>748</v>
      </c>
    </row>
    <row r="291" spans="2:22" x14ac:dyDescent="0.25">
      <c r="B291" s="1" t="str">
        <f>A9</f>
        <v>X:</v>
      </c>
      <c r="T291" s="1" t="str">
        <f t="shared" si="28"/>
        <v>SECRID</v>
      </c>
      <c r="U291" s="1" t="str">
        <f t="shared" si="30"/>
        <v>X:\@APPAREL FOR ALL\SECRID</v>
      </c>
      <c r="V291" s="12" t="s">
        <v>749</v>
      </c>
    </row>
    <row r="292" spans="2:22" x14ac:dyDescent="0.25">
      <c r="B292" s="1" t="str">
        <f>A9</f>
        <v>X:</v>
      </c>
      <c r="T292" s="1" t="str">
        <f t="shared" si="28"/>
        <v>SECTION</v>
      </c>
      <c r="U292" s="1" t="str">
        <f t="shared" si="30"/>
        <v>X:\@APPAREL FOR ALL\SECTION</v>
      </c>
      <c r="V292" s="12" t="s">
        <v>750</v>
      </c>
    </row>
    <row r="293" spans="2:22" x14ac:dyDescent="0.25">
      <c r="B293" s="1" t="str">
        <f>A9</f>
        <v>X:</v>
      </c>
      <c r="T293" s="1" t="str">
        <f t="shared" si="28"/>
        <v>SHAKTI</v>
      </c>
      <c r="U293" s="1" t="str">
        <f t="shared" si="30"/>
        <v>X:\@APPAREL FOR ALL\SHAKTI</v>
      </c>
      <c r="V293" s="12" t="s">
        <v>751</v>
      </c>
    </row>
    <row r="294" spans="2:22" x14ac:dyDescent="0.25">
      <c r="B294" s="1" t="str">
        <f>A9</f>
        <v>X:</v>
      </c>
      <c r="T294" s="1" t="str">
        <f t="shared" si="28"/>
        <v>SHERPANI</v>
      </c>
      <c r="U294" s="1" t="str">
        <f t="shared" si="30"/>
        <v>X:\@APPAREL FOR ALL\SHERPANI</v>
      </c>
      <c r="V294" s="12" t="s">
        <v>752</v>
      </c>
    </row>
    <row r="295" spans="2:22" x14ac:dyDescent="0.25">
      <c r="B295" s="1" t="str">
        <f>A9</f>
        <v>X:</v>
      </c>
      <c r="T295" s="1" t="str">
        <f t="shared" si="28"/>
        <v>SHOCKING GOAT</v>
      </c>
      <c r="U295" s="1" t="str">
        <f t="shared" si="30"/>
        <v>X:\@APPAREL FOR ALL\SHOCKING GOAT</v>
      </c>
      <c r="V295" s="12" t="s">
        <v>753</v>
      </c>
    </row>
    <row r="296" spans="2:22" x14ac:dyDescent="0.25">
      <c r="B296" s="1" t="str">
        <f>A9</f>
        <v>X:</v>
      </c>
      <c r="T296" s="1" t="str">
        <f t="shared" si="28"/>
        <v>SHWOOD</v>
      </c>
      <c r="U296" s="1" t="str">
        <f t="shared" si="30"/>
        <v>X:\@APPAREL FOR ALL\SHWOOD</v>
      </c>
      <c r="V296" s="12" t="s">
        <v>754</v>
      </c>
    </row>
    <row r="297" spans="2:22" x14ac:dyDescent="0.25">
      <c r="B297" s="1" t="str">
        <f>A9</f>
        <v>X:</v>
      </c>
      <c r="T297" s="1" t="str">
        <f t="shared" si="28"/>
        <v>SIKSILK</v>
      </c>
      <c r="U297" s="1" t="str">
        <f t="shared" si="30"/>
        <v>X:\@APPAREL FOR ALL\SIKSILK</v>
      </c>
      <c r="V297" s="12" t="s">
        <v>755</v>
      </c>
    </row>
    <row r="298" spans="2:22" x14ac:dyDescent="0.25">
      <c r="B298" s="1" t="str">
        <f>A9</f>
        <v>X:</v>
      </c>
      <c r="T298" s="1" t="str">
        <f t="shared" si="28"/>
        <v>SILVERLINING</v>
      </c>
      <c r="U298" s="1" t="str">
        <f t="shared" si="30"/>
        <v>X:\@APPAREL FOR ALL\SILVERLINING</v>
      </c>
      <c r="V298" s="12" t="s">
        <v>756</v>
      </c>
    </row>
    <row r="299" spans="2:22" x14ac:dyDescent="0.25">
      <c r="B299" s="1" t="str">
        <f>A9</f>
        <v>X:</v>
      </c>
      <c r="T299" s="1" t="str">
        <f t="shared" si="28"/>
        <v>SKIRT SPORTS</v>
      </c>
      <c r="U299" s="1" t="str">
        <f t="shared" si="30"/>
        <v>X:\@APPAREL FOR ALL\SKIRT SPORTS</v>
      </c>
      <c r="V299" s="12" t="s">
        <v>757</v>
      </c>
    </row>
    <row r="300" spans="2:22" x14ac:dyDescent="0.25">
      <c r="B300" s="1" t="str">
        <f>A9</f>
        <v>X:</v>
      </c>
      <c r="T300" s="1" t="str">
        <f t="shared" si="28"/>
        <v>SKOOTZ</v>
      </c>
      <c r="U300" s="1" t="str">
        <f t="shared" si="30"/>
        <v>X:\@APPAREL FOR ALL\SKOOTZ</v>
      </c>
      <c r="V300" s="12" t="s">
        <v>758</v>
      </c>
    </row>
    <row r="301" spans="2:22" x14ac:dyDescent="0.25">
      <c r="B301" s="1" t="str">
        <f>A9</f>
        <v>X:</v>
      </c>
      <c r="T301" s="1" t="str">
        <f t="shared" si="28"/>
        <v>SMARTWOOL</v>
      </c>
      <c r="U301" s="1" t="str">
        <f t="shared" si="30"/>
        <v>X:\@APPAREL FOR ALL\SMARTWOOL</v>
      </c>
      <c r="V301" s="12" t="s">
        <v>759</v>
      </c>
    </row>
    <row r="302" spans="2:22" x14ac:dyDescent="0.25">
      <c r="B302" s="1" t="str">
        <f>A9</f>
        <v>X:</v>
      </c>
      <c r="T302" s="1" t="str">
        <f t="shared" si="28"/>
        <v>SNEAKER BALLS</v>
      </c>
      <c r="U302" s="1" t="str">
        <f t="shared" si="30"/>
        <v>X:\@APPAREL FOR ALL\SNEAKER BALLS</v>
      </c>
      <c r="V302" s="12" t="s">
        <v>760</v>
      </c>
    </row>
    <row r="303" spans="2:22" x14ac:dyDescent="0.25">
      <c r="B303" s="1" t="str">
        <f>A9</f>
        <v>X:</v>
      </c>
      <c r="T303" s="1" t="str">
        <f t="shared" si="28"/>
        <v>SNEAKER LAB</v>
      </c>
      <c r="U303" s="1" t="str">
        <f t="shared" si="30"/>
        <v>X:\@APPAREL FOR ALL\SNEAKER LAB</v>
      </c>
      <c r="V303" s="12" t="s">
        <v>761</v>
      </c>
    </row>
    <row r="304" spans="2:22" x14ac:dyDescent="0.25">
      <c r="B304" s="1" t="str">
        <f>A9</f>
        <v>X:</v>
      </c>
      <c r="T304" s="1" t="str">
        <f t="shared" si="28"/>
        <v>SOCK AND ACCESSORY BRANDS</v>
      </c>
      <c r="U304" s="1" t="str">
        <f t="shared" si="30"/>
        <v>X:\@APPAREL FOR ALL\SOCK AND ACCESSORY BRANDS</v>
      </c>
      <c r="V304" s="12" t="s">
        <v>762</v>
      </c>
    </row>
    <row r="305" spans="2:22" x14ac:dyDescent="0.25">
      <c r="B305" s="1" t="str">
        <f>A9</f>
        <v>X:</v>
      </c>
      <c r="T305" s="1" t="str">
        <f t="shared" si="28"/>
        <v>SOF SOLE</v>
      </c>
      <c r="U305" s="1" t="str">
        <f t="shared" si="30"/>
        <v>X:\@APPAREL FOR ALL\SOF SOLE</v>
      </c>
      <c r="V305" s="12" t="s">
        <v>763</v>
      </c>
    </row>
    <row r="306" spans="2:22" x14ac:dyDescent="0.25">
      <c r="B306" s="1" t="str">
        <f>A9</f>
        <v>X:</v>
      </c>
      <c r="T306" s="1" t="str">
        <f t="shared" si="28"/>
        <v>SOLEUS RUNNING</v>
      </c>
      <c r="U306" s="1" t="str">
        <f t="shared" ref="U306:U337" si="31">CONCATENATE(B305,V306)</f>
        <v>X:\@APPAREL FOR ALL\SOLEUS RUNNING</v>
      </c>
      <c r="V306" s="12" t="s">
        <v>764</v>
      </c>
    </row>
    <row r="307" spans="2:22" x14ac:dyDescent="0.25">
      <c r="B307" s="1" t="str">
        <f>A9</f>
        <v>X:</v>
      </c>
      <c r="T307" s="1" t="str">
        <f t="shared" si="28"/>
        <v>SOMETHING NAVY</v>
      </c>
      <c r="U307" s="1" t="str">
        <f t="shared" si="31"/>
        <v>X:\@APPAREL FOR ALL\SOMETHING NAVY</v>
      </c>
      <c r="V307" s="12" t="s">
        <v>765</v>
      </c>
    </row>
    <row r="308" spans="2:22" x14ac:dyDescent="0.25">
      <c r="B308" s="1" t="str">
        <f>A9</f>
        <v>X:</v>
      </c>
      <c r="T308" s="1" t="str">
        <f t="shared" si="28"/>
        <v>SONNETI</v>
      </c>
      <c r="U308" s="1" t="str">
        <f t="shared" si="31"/>
        <v>X:\@APPAREL FOR ALL\SONNETI</v>
      </c>
      <c r="V308" s="12" t="s">
        <v>766</v>
      </c>
    </row>
    <row r="309" spans="2:22" x14ac:dyDescent="0.25">
      <c r="B309" s="1" t="str">
        <f>A9</f>
        <v>X:</v>
      </c>
      <c r="T309" s="1" t="str">
        <f t="shared" si="28"/>
        <v>SPANX</v>
      </c>
      <c r="U309" s="1" t="str">
        <f t="shared" si="31"/>
        <v>X:\@APPAREL FOR ALL\SPANX</v>
      </c>
      <c r="V309" s="12" t="s">
        <v>767</v>
      </c>
    </row>
    <row r="310" spans="2:22" x14ac:dyDescent="0.25">
      <c r="B310" s="1" t="str">
        <f>A9</f>
        <v>X:</v>
      </c>
      <c r="T310" s="1" t="str">
        <f t="shared" si="28"/>
        <v>SPARK</v>
      </c>
      <c r="U310" s="1" t="str">
        <f t="shared" si="31"/>
        <v>X:\@APPAREL FOR ALL\SPARK</v>
      </c>
      <c r="V310" s="12" t="s">
        <v>768</v>
      </c>
    </row>
    <row r="311" spans="2:22" x14ac:dyDescent="0.25">
      <c r="B311" s="1" t="str">
        <f>A9</f>
        <v>X:</v>
      </c>
      <c r="T311" s="1" t="str">
        <f t="shared" si="28"/>
        <v>SPIBELT</v>
      </c>
      <c r="U311" s="1" t="str">
        <f t="shared" si="31"/>
        <v>X:\@APPAREL FOR ALL\SPIBELT</v>
      </c>
      <c r="V311" s="12" t="s">
        <v>769</v>
      </c>
    </row>
    <row r="312" spans="2:22" x14ac:dyDescent="0.25">
      <c r="B312" s="1" t="str">
        <f>A9</f>
        <v>X:</v>
      </c>
      <c r="T312" s="1" t="str">
        <f t="shared" si="28"/>
        <v>SPIRA</v>
      </c>
      <c r="U312" s="1" t="str">
        <f t="shared" si="31"/>
        <v>X:\@APPAREL FOR ALL\SPIRA</v>
      </c>
      <c r="V312" s="12" t="s">
        <v>770</v>
      </c>
    </row>
    <row r="313" spans="2:22" x14ac:dyDescent="0.25">
      <c r="B313" s="1" t="str">
        <f>A9</f>
        <v>X:</v>
      </c>
      <c r="T313" s="1" t="str">
        <f t="shared" si="28"/>
        <v>SPORTIQE APPAREL COMPANY</v>
      </c>
      <c r="U313" s="1" t="str">
        <f t="shared" si="31"/>
        <v>X:\@APPAREL FOR ALL\SPORTIQE APPAREL COMPANY</v>
      </c>
      <c r="V313" s="12" t="s">
        <v>771</v>
      </c>
    </row>
    <row r="314" spans="2:22" x14ac:dyDescent="0.25">
      <c r="B314" s="1" t="str">
        <f>A9</f>
        <v>X:</v>
      </c>
      <c r="T314" s="1" t="str">
        <f t="shared" si="28"/>
        <v>SPRAYGROUND</v>
      </c>
      <c r="U314" s="1" t="str">
        <f t="shared" si="31"/>
        <v>X:\@APPAREL FOR ALL\SPRAYGROUND</v>
      </c>
      <c r="V314" s="12" t="s">
        <v>772</v>
      </c>
    </row>
    <row r="315" spans="2:22" x14ac:dyDescent="0.25">
      <c r="B315" s="1" t="str">
        <f>A9</f>
        <v>X:</v>
      </c>
      <c r="T315" s="1" t="str">
        <f t="shared" si="28"/>
        <v>STADIUM ATHLETICS</v>
      </c>
      <c r="U315" s="1" t="str">
        <f t="shared" si="31"/>
        <v>X:\@APPAREL FOR ALL\STADIUM ATHLETICS</v>
      </c>
      <c r="V315" s="12" t="s">
        <v>773</v>
      </c>
    </row>
    <row r="316" spans="2:22" x14ac:dyDescent="0.25">
      <c r="B316" s="1" t="str">
        <f>A9</f>
        <v>X:</v>
      </c>
      <c r="T316" s="1" t="str">
        <f t="shared" si="28"/>
        <v>STANCE</v>
      </c>
      <c r="U316" s="1" t="str">
        <f t="shared" si="31"/>
        <v>X:\@APPAREL FOR ALL\STANCE</v>
      </c>
      <c r="V316" s="12" t="s">
        <v>774</v>
      </c>
    </row>
    <row r="317" spans="2:22" x14ac:dyDescent="0.25">
      <c r="B317" s="1" t="str">
        <f>A9</f>
        <v>X:</v>
      </c>
      <c r="T317" s="1" t="str">
        <f t="shared" si="28"/>
        <v>Starter</v>
      </c>
      <c r="U317" s="1" t="str">
        <f t="shared" si="31"/>
        <v>X:\@APPAREL FOR ALL\Starter</v>
      </c>
      <c r="V317" s="12" t="s">
        <v>775</v>
      </c>
    </row>
    <row r="318" spans="2:22" x14ac:dyDescent="0.25">
      <c r="B318" s="1" t="str">
        <f>A9</f>
        <v>X:</v>
      </c>
      <c r="T318" s="1" t="str">
        <f t="shared" si="28"/>
        <v>STC</v>
      </c>
      <c r="U318" s="1" t="str">
        <f t="shared" si="31"/>
        <v>X:\@APPAREL FOR ALL\STC</v>
      </c>
      <c r="V318" s="12" t="s">
        <v>776</v>
      </c>
    </row>
    <row r="319" spans="2:22" x14ac:dyDescent="0.25">
      <c r="B319" s="1" t="str">
        <f>A9</f>
        <v>X:</v>
      </c>
      <c r="T319" s="1" t="str">
        <f t="shared" si="28"/>
        <v>STITCHES ATHLETIC GEAR</v>
      </c>
      <c r="U319" s="1" t="str">
        <f t="shared" si="31"/>
        <v>X:\@APPAREL FOR ALL\STITCHES ATHLETIC GEAR</v>
      </c>
      <c r="V319" s="12" t="s">
        <v>777</v>
      </c>
    </row>
    <row r="320" spans="2:22" x14ac:dyDescent="0.25">
      <c r="B320" s="1" t="str">
        <f>A9</f>
        <v>X:</v>
      </c>
      <c r="T320" s="1" t="str">
        <f t="shared" si="28"/>
        <v>STUDIO</v>
      </c>
      <c r="U320" s="1" t="str">
        <f t="shared" si="31"/>
        <v>X:\@APPAREL FOR ALL\STUDIO</v>
      </c>
      <c r="V320" s="12" t="s">
        <v>778</v>
      </c>
    </row>
    <row r="321" spans="2:22" x14ac:dyDescent="0.25">
      <c r="B321" s="1" t="str">
        <f>A9</f>
        <v>X:</v>
      </c>
      <c r="T321" s="1" t="str">
        <f t="shared" si="28"/>
        <v>STUFFITTS</v>
      </c>
      <c r="U321" s="1" t="str">
        <f t="shared" si="31"/>
        <v>X:\@APPAREL FOR ALL\STUFFITTS</v>
      </c>
      <c r="V321" s="12" t="s">
        <v>779</v>
      </c>
    </row>
    <row r="322" spans="2:22" x14ac:dyDescent="0.25">
      <c r="B322" s="1" t="str">
        <f>A9</f>
        <v>X:</v>
      </c>
      <c r="T322" s="1" t="str">
        <f t="shared" si="28"/>
        <v>STUSSY</v>
      </c>
      <c r="U322" s="1" t="str">
        <f t="shared" si="31"/>
        <v>X:\@APPAREL FOR ALL\STUSSY</v>
      </c>
      <c r="V322" s="12" t="s">
        <v>780</v>
      </c>
    </row>
    <row r="323" spans="2:22" x14ac:dyDescent="0.25">
      <c r="B323" s="1" t="str">
        <f>A9</f>
        <v>X:</v>
      </c>
      <c r="T323" s="1" t="str">
        <f t="shared" ref="T323:T370" si="32">SUBSTITUTE(U323,B323 &amp; "\@APPAREL FOR ALL\","")</f>
        <v>SUGOI</v>
      </c>
      <c r="U323" s="1" t="str">
        <f t="shared" si="31"/>
        <v>X:\@APPAREL FOR ALL\SUGOI</v>
      </c>
      <c r="V323" s="12" t="s">
        <v>781</v>
      </c>
    </row>
    <row r="324" spans="2:22" x14ac:dyDescent="0.25">
      <c r="B324" s="1" t="str">
        <f>A9</f>
        <v>X:</v>
      </c>
      <c r="T324" s="1" t="str">
        <f t="shared" si="32"/>
        <v>SUPER</v>
      </c>
      <c r="U324" s="1" t="str">
        <f t="shared" si="31"/>
        <v>X:\@APPAREL FOR ALL\SUPER</v>
      </c>
      <c r="V324" s="12" t="s">
        <v>782</v>
      </c>
    </row>
    <row r="325" spans="2:22" x14ac:dyDescent="0.25">
      <c r="B325" s="1" t="str">
        <f>A9</f>
        <v>X:</v>
      </c>
      <c r="T325" s="1" t="str">
        <f t="shared" si="32"/>
        <v>SUPER DRY</v>
      </c>
      <c r="U325" s="1" t="str">
        <f t="shared" si="31"/>
        <v>X:\@APPAREL FOR ALL\SUPER DRY</v>
      </c>
      <c r="V325" s="12" t="s">
        <v>783</v>
      </c>
    </row>
    <row r="326" spans="2:22" x14ac:dyDescent="0.25">
      <c r="B326" s="1" t="str">
        <f>A9</f>
        <v>X:</v>
      </c>
      <c r="T326" s="1" t="str">
        <f t="shared" si="32"/>
        <v>SUPERFEET</v>
      </c>
      <c r="U326" s="1" t="str">
        <f t="shared" si="31"/>
        <v>X:\@APPAREL FOR ALL\SUPERFEET</v>
      </c>
      <c r="V326" s="12" t="s">
        <v>784</v>
      </c>
    </row>
    <row r="327" spans="2:22" x14ac:dyDescent="0.25">
      <c r="B327" s="1" t="str">
        <f>A9</f>
        <v>X:</v>
      </c>
      <c r="T327" s="1" t="str">
        <f t="shared" si="32"/>
        <v>SUPPLY DEMAND</v>
      </c>
      <c r="U327" s="1" t="str">
        <f t="shared" si="31"/>
        <v>X:\@APPAREL FOR ALL\SUPPLY DEMAND</v>
      </c>
      <c r="V327" s="12" t="s">
        <v>785</v>
      </c>
    </row>
    <row r="328" spans="2:22" x14ac:dyDescent="0.25">
      <c r="B328" s="1" t="str">
        <f>A9</f>
        <v>X:</v>
      </c>
      <c r="T328" s="1" t="str">
        <f t="shared" si="32"/>
        <v>SWEATY BANDS</v>
      </c>
      <c r="U328" s="1" t="str">
        <f t="shared" si="31"/>
        <v>X:\@APPAREL FOR ALL\SWEATY BANDS</v>
      </c>
      <c r="V328" s="12" t="s">
        <v>786</v>
      </c>
    </row>
    <row r="329" spans="2:22" x14ac:dyDescent="0.25">
      <c r="B329" s="1" t="str">
        <f>A9</f>
        <v>X:</v>
      </c>
      <c r="T329" s="1" t="str">
        <f t="shared" si="32"/>
        <v>SWIFTWICK</v>
      </c>
      <c r="U329" s="1" t="str">
        <f t="shared" si="31"/>
        <v>X:\@APPAREL FOR ALL\SWIFTWICK</v>
      </c>
      <c r="V329" s="12" t="s">
        <v>787</v>
      </c>
    </row>
    <row r="330" spans="2:22" x14ac:dyDescent="0.25">
      <c r="B330" s="1" t="str">
        <f>A9</f>
        <v>X:</v>
      </c>
      <c r="T330" s="1" t="str">
        <f t="shared" si="32"/>
        <v>SWISS GEAR</v>
      </c>
      <c r="U330" s="1" t="str">
        <f t="shared" si="31"/>
        <v>X:\@APPAREL FOR ALL\SWISS GEAR</v>
      </c>
      <c r="V330" s="12" t="s">
        <v>788</v>
      </c>
    </row>
    <row r="331" spans="2:22" x14ac:dyDescent="0.25">
      <c r="B331" s="1" t="str">
        <f>A9</f>
        <v>X:</v>
      </c>
      <c r="T331" s="1" t="str">
        <f t="shared" si="32"/>
        <v>TECH STRETCH</v>
      </c>
      <c r="U331" s="1" t="str">
        <f t="shared" si="31"/>
        <v>X:\@APPAREL FOR ALL\TECH STRETCH</v>
      </c>
      <c r="V331" s="12" t="s">
        <v>789</v>
      </c>
    </row>
    <row r="332" spans="2:22" x14ac:dyDescent="0.25">
      <c r="B332" s="1" t="str">
        <f>A9</f>
        <v>X:</v>
      </c>
      <c r="T332" s="1" t="str">
        <f t="shared" si="32"/>
        <v>THE HUNDREDS</v>
      </c>
      <c r="U332" s="1" t="str">
        <f t="shared" si="31"/>
        <v>X:\@APPAREL FOR ALL\THE HUNDREDS</v>
      </c>
      <c r="V332" s="12" t="s">
        <v>790</v>
      </c>
    </row>
    <row r="333" spans="2:22" x14ac:dyDescent="0.25">
      <c r="B333" s="1" t="str">
        <f>A9</f>
        <v>X:</v>
      </c>
      <c r="T333" s="1" t="str">
        <f t="shared" si="32"/>
        <v>THE TIN BOX COMPANY</v>
      </c>
      <c r="U333" s="1" t="str">
        <f t="shared" si="31"/>
        <v>X:\@APPAREL FOR ALL\THE TIN BOX COMPANY</v>
      </c>
      <c r="V333" s="12" t="s">
        <v>791</v>
      </c>
    </row>
    <row r="334" spans="2:22" x14ac:dyDescent="0.25">
      <c r="B334" s="1" t="str">
        <f>A9</f>
        <v>X:</v>
      </c>
      <c r="T334" s="1" t="str">
        <f t="shared" si="32"/>
        <v>THE VICTORY</v>
      </c>
      <c r="U334" s="1" t="str">
        <f t="shared" si="31"/>
        <v>X:\@APPAREL FOR ALL\THE VICTORY</v>
      </c>
      <c r="V334" s="12" t="s">
        <v>792</v>
      </c>
    </row>
    <row r="335" spans="2:22" x14ac:dyDescent="0.25">
      <c r="B335" s="1" t="str">
        <f>A9</f>
        <v>X:</v>
      </c>
      <c r="T335" s="1" t="str">
        <f t="shared" si="32"/>
        <v>THORLOS</v>
      </c>
      <c r="U335" s="1" t="str">
        <f t="shared" si="31"/>
        <v>X:\@APPAREL FOR ALL\THORLOS</v>
      </c>
      <c r="V335" s="12" t="s">
        <v>793</v>
      </c>
    </row>
    <row r="336" spans="2:22" x14ac:dyDescent="0.25">
      <c r="B336" s="1" t="str">
        <f>A9</f>
        <v>X:</v>
      </c>
      <c r="T336" s="1" t="str">
        <f t="shared" si="32"/>
        <v>TIFOSI</v>
      </c>
      <c r="U336" s="1" t="str">
        <f t="shared" si="31"/>
        <v>X:\@APPAREL FOR ALL\TIFOSI</v>
      </c>
      <c r="V336" s="12" t="s">
        <v>794</v>
      </c>
    </row>
    <row r="337" spans="2:22" x14ac:dyDescent="0.25">
      <c r="B337" s="1" t="str">
        <f>A9</f>
        <v>X:</v>
      </c>
      <c r="T337" s="1" t="str">
        <f t="shared" si="32"/>
        <v>TIMBERLAND</v>
      </c>
      <c r="U337" s="1" t="str">
        <f t="shared" si="31"/>
        <v>X:\@APPAREL FOR ALL\TIMBERLAND</v>
      </c>
      <c r="V337" s="12" t="s">
        <v>795</v>
      </c>
    </row>
    <row r="338" spans="2:22" x14ac:dyDescent="0.25">
      <c r="B338" s="1" t="str">
        <f>A9</f>
        <v>X:</v>
      </c>
      <c r="T338" s="1" t="str">
        <f t="shared" si="32"/>
        <v>TIMEX</v>
      </c>
      <c r="U338" s="1" t="str">
        <f t="shared" ref="U338:U370" si="33">CONCATENATE(B337,V338)</f>
        <v>X:\@APPAREL FOR ALL\TIMEX</v>
      </c>
      <c r="V338" s="12" t="s">
        <v>796</v>
      </c>
    </row>
    <row r="339" spans="2:22" x14ac:dyDescent="0.25">
      <c r="B339" s="1" t="str">
        <f>A9</f>
        <v>X:</v>
      </c>
      <c r="T339" s="1" t="str">
        <f t="shared" si="32"/>
        <v>Tommy</v>
      </c>
      <c r="U339" s="1" t="str">
        <f t="shared" si="33"/>
        <v>X:\@APPAREL FOR ALL\Tommy</v>
      </c>
      <c r="V339" s="12" t="s">
        <v>797</v>
      </c>
    </row>
    <row r="340" spans="2:22" x14ac:dyDescent="0.25">
      <c r="B340" s="1" t="str">
        <f>A9</f>
        <v>X:</v>
      </c>
      <c r="T340" s="1" t="str">
        <f t="shared" si="32"/>
        <v>TOMMY HILFIGER</v>
      </c>
      <c r="U340" s="1" t="str">
        <f t="shared" si="33"/>
        <v>X:\@APPAREL FOR ALL\TOMMY HILFIGER</v>
      </c>
      <c r="V340" s="12" t="s">
        <v>798</v>
      </c>
    </row>
    <row r="341" spans="2:22" x14ac:dyDescent="0.25">
      <c r="B341" s="1" t="str">
        <f>A9</f>
        <v>X:</v>
      </c>
      <c r="T341" s="1" t="str">
        <f t="shared" si="32"/>
        <v>TOMTOM</v>
      </c>
      <c r="U341" s="1" t="str">
        <f t="shared" si="33"/>
        <v>X:\@APPAREL FOR ALL\TOMTOM</v>
      </c>
      <c r="V341" s="12" t="s">
        <v>799</v>
      </c>
    </row>
    <row r="342" spans="2:22" x14ac:dyDescent="0.25">
      <c r="B342" s="1" t="str">
        <f>A9</f>
        <v>X:</v>
      </c>
      <c r="T342" s="1" t="str">
        <f t="shared" si="32"/>
        <v>TOP OF THE WORLD</v>
      </c>
      <c r="U342" s="1" t="str">
        <f t="shared" si="33"/>
        <v>X:\@APPAREL FOR ALL\TOP OF THE WORLD</v>
      </c>
      <c r="V342" s="12" t="s">
        <v>800</v>
      </c>
    </row>
    <row r="343" spans="2:22" x14ac:dyDescent="0.25">
      <c r="B343" s="1" t="str">
        <f>A9</f>
        <v>X:</v>
      </c>
      <c r="T343" s="1" t="str">
        <f t="shared" si="32"/>
        <v>TOP SHELF</v>
      </c>
      <c r="U343" s="1" t="str">
        <f t="shared" si="33"/>
        <v>X:\@APPAREL FOR ALL\TOP SHELF</v>
      </c>
      <c r="V343" s="12" t="s">
        <v>801</v>
      </c>
    </row>
    <row r="344" spans="2:22" x14ac:dyDescent="0.25">
      <c r="B344" s="1" t="str">
        <f>A9</f>
        <v>X:</v>
      </c>
      <c r="T344" s="1" t="str">
        <f t="shared" si="32"/>
        <v>TOW CAPS</v>
      </c>
      <c r="U344" s="1" t="str">
        <f t="shared" si="33"/>
        <v>X:\@APPAREL FOR ALL\TOW CAPS</v>
      </c>
      <c r="V344" s="12" t="s">
        <v>802</v>
      </c>
    </row>
    <row r="345" spans="2:22" x14ac:dyDescent="0.25">
      <c r="B345" s="1" t="str">
        <f>A9</f>
        <v>X:</v>
      </c>
      <c r="T345" s="1" t="str">
        <f t="shared" si="32"/>
        <v>TULIS</v>
      </c>
      <c r="U345" s="1" t="str">
        <f t="shared" si="33"/>
        <v>X:\@APPAREL FOR ALL\TULIS</v>
      </c>
      <c r="V345" s="12" t="s">
        <v>803</v>
      </c>
    </row>
    <row r="346" spans="2:22" x14ac:dyDescent="0.25">
      <c r="B346" s="1" t="str">
        <f>A9</f>
        <v>X:</v>
      </c>
      <c r="T346" s="1" t="str">
        <f t="shared" si="32"/>
        <v>U2SKIN</v>
      </c>
      <c r="U346" s="1" t="str">
        <f t="shared" si="33"/>
        <v>X:\@APPAREL FOR ALL\U2SKIN</v>
      </c>
      <c r="V346" s="12" t="s">
        <v>804</v>
      </c>
    </row>
    <row r="347" spans="2:22" x14ac:dyDescent="0.25">
      <c r="B347" s="1" t="str">
        <f>A9</f>
        <v>X:</v>
      </c>
      <c r="T347" s="1" t="str">
        <f t="shared" si="32"/>
        <v>UGG</v>
      </c>
      <c r="U347" s="1" t="str">
        <f t="shared" si="33"/>
        <v>X:\@APPAREL FOR ALL\UGG</v>
      </c>
      <c r="V347" s="12" t="s">
        <v>805</v>
      </c>
    </row>
    <row r="348" spans="2:22" x14ac:dyDescent="0.25">
      <c r="B348" s="1" t="str">
        <f>A9</f>
        <v>X:</v>
      </c>
      <c r="T348" s="1" t="str">
        <f t="shared" si="32"/>
        <v>ULTIMATE DIRECTION</v>
      </c>
      <c r="U348" s="1" t="str">
        <f t="shared" si="33"/>
        <v>X:\@APPAREL FOR ALL\ULTIMATE DIRECTION</v>
      </c>
      <c r="V348" s="12" t="s">
        <v>806</v>
      </c>
    </row>
    <row r="349" spans="2:22" x14ac:dyDescent="0.25">
      <c r="B349" s="1" t="str">
        <f>A9</f>
        <v>X:</v>
      </c>
      <c r="T349" s="1" t="str">
        <f t="shared" si="32"/>
        <v>UNDEFEATED</v>
      </c>
      <c r="U349" s="1" t="str">
        <f t="shared" si="33"/>
        <v>X:\@APPAREL FOR ALL\UNDEFEATED</v>
      </c>
      <c r="V349" s="12" t="s">
        <v>807</v>
      </c>
    </row>
    <row r="350" spans="2:22" x14ac:dyDescent="0.25">
      <c r="B350" s="1" t="str">
        <f>A9</f>
        <v>X:</v>
      </c>
      <c r="T350" s="1" t="str">
        <f t="shared" si="32"/>
        <v>UNDER ARMOUR</v>
      </c>
      <c r="U350" s="1" t="str">
        <f t="shared" si="33"/>
        <v>X:\@APPAREL FOR ALL\UNDER ARMOUR</v>
      </c>
      <c r="V350" s="12" t="s">
        <v>808</v>
      </c>
    </row>
    <row r="351" spans="2:22" x14ac:dyDescent="0.25">
      <c r="B351" t="str">
        <f>A9</f>
        <v>X:</v>
      </c>
      <c r="T351" s="1" t="str">
        <f t="shared" si="32"/>
        <v>UNK NBA</v>
      </c>
      <c r="U351" s="1" t="str">
        <f t="shared" si="33"/>
        <v>X:\@APPAREL FOR ALL\UNK NBA</v>
      </c>
      <c r="V351" s="12" t="s">
        <v>809</v>
      </c>
    </row>
    <row r="352" spans="2:22" x14ac:dyDescent="0.25">
      <c r="T352" s="1" t="str">
        <f t="shared" si="32"/>
        <v>X:UPXNDR</v>
      </c>
      <c r="U352" s="1" t="str">
        <f t="shared" si="33"/>
        <v>X:\@APPAREL FOR ALL\UPXNDR</v>
      </c>
      <c r="V352" s="12" t="s">
        <v>810</v>
      </c>
    </row>
    <row r="353" spans="20:22" x14ac:dyDescent="0.25">
      <c r="T353" s="1" t="str">
        <f t="shared" si="32"/>
        <v>URBAN OUTFITTERS</v>
      </c>
      <c r="U353" s="1" t="str">
        <f t="shared" si="33"/>
        <v>\@APPAREL FOR ALL\URBAN OUTFITTERS</v>
      </c>
      <c r="V353" s="12" t="s">
        <v>811</v>
      </c>
    </row>
    <row r="354" spans="20:22" x14ac:dyDescent="0.25">
      <c r="T354" s="1" t="str">
        <f t="shared" si="32"/>
        <v>VANITY FAIR</v>
      </c>
      <c r="U354" s="1" t="str">
        <f t="shared" si="33"/>
        <v>\@APPAREL FOR ALL\VANITY FAIR</v>
      </c>
      <c r="V354" s="12" t="s">
        <v>812</v>
      </c>
    </row>
    <row r="355" spans="20:22" x14ac:dyDescent="0.25">
      <c r="T355" s="1" t="str">
        <f t="shared" si="32"/>
        <v>VANS</v>
      </c>
      <c r="U355" s="1" t="str">
        <f t="shared" si="33"/>
        <v>\@APPAREL FOR ALL\VANS</v>
      </c>
      <c r="V355" s="12" t="s">
        <v>813</v>
      </c>
    </row>
    <row r="356" spans="20:22" x14ac:dyDescent="0.25">
      <c r="T356" s="1" t="str">
        <f t="shared" si="32"/>
        <v>VERSACE</v>
      </c>
      <c r="U356" s="1" t="str">
        <f t="shared" si="33"/>
        <v>\@APPAREL FOR ALL\VERSACE</v>
      </c>
      <c r="V356" s="12" t="s">
        <v>814</v>
      </c>
    </row>
    <row r="357" spans="20:22" x14ac:dyDescent="0.25">
      <c r="T357" s="1" t="str">
        <f t="shared" si="32"/>
        <v>VIOTONIX</v>
      </c>
      <c r="U357" s="1" t="str">
        <f t="shared" si="33"/>
        <v>\@APPAREL FOR ALL\VIOTONIX</v>
      </c>
      <c r="V357" s="12" t="s">
        <v>815</v>
      </c>
    </row>
    <row r="358" spans="20:22" x14ac:dyDescent="0.25">
      <c r="T358" s="1" t="str">
        <f t="shared" si="32"/>
        <v>WENGER</v>
      </c>
      <c r="U358" s="1" t="str">
        <f t="shared" si="33"/>
        <v>\@APPAREL FOR ALL\WENGER</v>
      </c>
      <c r="V358" s="12" t="s">
        <v>816</v>
      </c>
    </row>
    <row r="359" spans="20:22" x14ac:dyDescent="0.25">
      <c r="T359" s="1" t="str">
        <f t="shared" si="32"/>
        <v>WET SEAL</v>
      </c>
      <c r="U359" s="1" t="str">
        <f t="shared" si="33"/>
        <v>\@APPAREL FOR ALL\WET SEAL</v>
      </c>
      <c r="V359" s="12" t="s">
        <v>817</v>
      </c>
    </row>
    <row r="360" spans="20:22" x14ac:dyDescent="0.25">
      <c r="T360" s="1" t="str">
        <f t="shared" si="32"/>
        <v>WinCraft</v>
      </c>
      <c r="U360" s="1" t="str">
        <f t="shared" si="33"/>
        <v>\@APPAREL FOR ALL\WinCraft</v>
      </c>
      <c r="V360" s="12" t="s">
        <v>818</v>
      </c>
    </row>
    <row r="361" spans="20:22" x14ac:dyDescent="0.25">
      <c r="T361" s="1" t="str">
        <f t="shared" si="32"/>
        <v>YAKTRAX</v>
      </c>
      <c r="U361" s="1" t="str">
        <f t="shared" si="33"/>
        <v>\@APPAREL FOR ALL\YAKTRAX</v>
      </c>
      <c r="V361" s="12" t="s">
        <v>819</v>
      </c>
    </row>
    <row r="362" spans="20:22" x14ac:dyDescent="0.25">
      <c r="T362" s="1" t="str">
        <f t="shared" si="32"/>
        <v>YESNO</v>
      </c>
      <c r="U362" s="1" t="str">
        <f t="shared" si="33"/>
        <v>\@APPAREL FOR ALL\YESNO</v>
      </c>
      <c r="V362" s="12" t="s">
        <v>820</v>
      </c>
    </row>
    <row r="363" spans="20:22" x14ac:dyDescent="0.25">
      <c r="T363" s="1" t="str">
        <f t="shared" si="32"/>
        <v>YOUNG &amp; RECKLESS</v>
      </c>
      <c r="U363" s="1" t="str">
        <f t="shared" si="33"/>
        <v>\@APPAREL FOR ALL\YOUNG &amp; RECKLESS</v>
      </c>
      <c r="V363" s="12" t="s">
        <v>821</v>
      </c>
    </row>
    <row r="364" spans="20:22" x14ac:dyDescent="0.25">
      <c r="T364" s="1" t="str">
        <f t="shared" si="32"/>
        <v>ZANEROBE</v>
      </c>
      <c r="U364" s="1" t="str">
        <f t="shared" si="33"/>
        <v>\@APPAREL FOR ALL\ZANEROBE</v>
      </c>
      <c r="V364" s="12" t="s">
        <v>822</v>
      </c>
    </row>
    <row r="365" spans="20:22" x14ac:dyDescent="0.25">
      <c r="T365" s="1" t="str">
        <f t="shared" si="32"/>
        <v>ZARA</v>
      </c>
      <c r="U365" s="1" t="str">
        <f t="shared" si="33"/>
        <v>\@APPAREL FOR ALL\ZARA</v>
      </c>
      <c r="V365" s="12" t="s">
        <v>823</v>
      </c>
    </row>
    <row r="366" spans="20:22" x14ac:dyDescent="0.25">
      <c r="T366" s="1" t="str">
        <f t="shared" si="32"/>
        <v>ZCO JEANS</v>
      </c>
      <c r="U366" s="1" t="str">
        <f t="shared" si="33"/>
        <v>\@APPAREL FOR ALL\ZCO JEANS</v>
      </c>
      <c r="V366" s="12" t="s">
        <v>824</v>
      </c>
    </row>
    <row r="367" spans="20:22" x14ac:dyDescent="0.25">
      <c r="T367" s="1" t="str">
        <f t="shared" si="32"/>
        <v>ZENSAH</v>
      </c>
      <c r="U367" s="1" t="str">
        <f t="shared" si="33"/>
        <v>\@APPAREL FOR ALL\ZENSAH</v>
      </c>
      <c r="V367" s="12" t="s">
        <v>825</v>
      </c>
    </row>
    <row r="368" spans="20:22" x14ac:dyDescent="0.25">
      <c r="T368" s="1" t="str">
        <f t="shared" si="32"/>
        <v>ZEPHYR HEADWEAR</v>
      </c>
      <c r="U368" s="1" t="str">
        <f t="shared" si="33"/>
        <v>\@APPAREL FOR ALL\ZEPHYR HEADWEAR</v>
      </c>
      <c r="V368" s="12" t="s">
        <v>826</v>
      </c>
    </row>
    <row r="369" spans="20:22" x14ac:dyDescent="0.25">
      <c r="T369" s="1" t="str">
        <f t="shared" si="32"/>
        <v>ZERO G</v>
      </c>
      <c r="U369" s="1" t="str">
        <f t="shared" si="33"/>
        <v>\@APPAREL FOR ALL\ZERO G</v>
      </c>
      <c r="V369" t="s">
        <v>827</v>
      </c>
    </row>
    <row r="370" spans="20:22" x14ac:dyDescent="0.25">
      <c r="T370" s="1" t="str">
        <f t="shared" si="32"/>
        <v>ZOOT</v>
      </c>
      <c r="U370" s="1" t="str">
        <f t="shared" si="33"/>
        <v>\@APPAREL FOR ALL\ZOOT</v>
      </c>
      <c r="V370" t="s">
        <v>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Move Imgs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</dc:creator>
  <cp:lastModifiedBy>Christian Aranda</cp:lastModifiedBy>
  <dcterms:created xsi:type="dcterms:W3CDTF">2021-10-26T17:35:29Z</dcterms:created>
  <dcterms:modified xsi:type="dcterms:W3CDTF">2022-10-21T19:31:46Z</dcterms:modified>
</cp:coreProperties>
</file>